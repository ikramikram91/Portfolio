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kram\Desktop\Analyse_de_vente_pour_un_ecommerce_Ikram_Djellouli\"/>
    </mc:Choice>
  </mc:AlternateContent>
  <xr:revisionPtr revIDLastSave="0" documentId="13_ncr:1_{29E7D22F-246B-4DFC-BC42-7769458B8B5F}" xr6:coauthVersionLast="47" xr6:coauthVersionMax="47" xr10:uidLastSave="{00000000-0000-0000-0000-000000000000}"/>
  <bookViews>
    <workbookView xWindow="-110" yWindow="-110" windowWidth="19420" windowHeight="10300" tabRatio="669" firstSheet="1" activeTab="1" xr2:uid="{46DD1771-0564-4AE0-AF9E-DFEC2D228DF7}"/>
  </bookViews>
  <sheets>
    <sheet name="DATA " sheetId="5" state="hidden" r:id="rId1"/>
    <sheet name="Dashboard" sheetId="1" r:id="rId2"/>
    <sheet name="montant x temps " sheetId="6" r:id="rId3"/>
    <sheet name="CA par Catégorie" sheetId="11" r:id="rId4"/>
    <sheet name="evolution CA x catégorie" sheetId="7" r:id="rId5"/>
    <sheet name="Clienst x Catégorie" sheetId="9" r:id="rId6"/>
  </sheets>
  <functionGroups builtInGroupCount="19"/>
  <definedNames>
    <definedName name="DonnéesExternes_2" localSheetId="5" hidden="1">'Clienst x Catégorie'!$A$1:$D$414</definedName>
    <definedName name="DonnéesExternes_3" localSheetId="5" hidden="1">'Clienst x Catégorie'!$N$1:$Q$248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0" i="11" l="1"/>
  <c r="J10" i="11" s="1"/>
  <c r="J8" i="11"/>
  <c r="J7" i="11"/>
  <c r="J6" i="11"/>
  <c r="L62" i="9"/>
  <c r="L63" i="9"/>
  <c r="L64" i="9"/>
  <c r="L66" i="9"/>
  <c r="L67" i="9"/>
  <c r="L54" i="9"/>
  <c r="L56" i="9"/>
  <c r="L57" i="9"/>
  <c r="L61" i="9"/>
  <c r="L22" i="9"/>
  <c r="L23" i="9"/>
  <c r="L24" i="9"/>
  <c r="L30" i="9"/>
  <c r="K65" i="9"/>
  <c r="L65" i="9" s="1"/>
  <c r="K60" i="9"/>
  <c r="L60" i="9" s="1"/>
  <c r="K59" i="9"/>
  <c r="L59" i="9" s="1"/>
  <c r="K55" i="9"/>
  <c r="K52" i="9"/>
  <c r="K49" i="9"/>
  <c r="K48" i="9"/>
  <c r="K47" i="9"/>
  <c r="K46" i="9"/>
  <c r="L46" i="9" s="1"/>
  <c r="K45" i="9"/>
  <c r="K44" i="9"/>
  <c r="K43" i="9"/>
  <c r="K42" i="9"/>
  <c r="K41" i="9"/>
  <c r="K40" i="9"/>
  <c r="K39" i="9"/>
  <c r="K38" i="9"/>
  <c r="L38" i="9" s="1"/>
  <c r="K37" i="9"/>
  <c r="K36" i="9"/>
  <c r="K35" i="9"/>
  <c r="K34" i="9"/>
  <c r="K32" i="9"/>
  <c r="K31" i="9"/>
  <c r="K30" i="9"/>
  <c r="K29" i="9"/>
  <c r="K28" i="9"/>
  <c r="K27" i="9"/>
  <c r="K26" i="9"/>
  <c r="K25" i="9"/>
  <c r="K24" i="9"/>
  <c r="K23" i="9"/>
  <c r="K21" i="9"/>
  <c r="K20" i="9"/>
  <c r="K19" i="9"/>
  <c r="L19" i="9" s="1"/>
  <c r="K18" i="9"/>
  <c r="K17" i="9"/>
  <c r="K16" i="9"/>
  <c r="K15" i="9"/>
  <c r="K14" i="9"/>
  <c r="K13" i="9"/>
  <c r="K12" i="9"/>
  <c r="K11" i="9"/>
  <c r="L11" i="9" s="1"/>
  <c r="K10" i="9"/>
  <c r="K9" i="9"/>
  <c r="K8" i="9"/>
  <c r="K7" i="9"/>
  <c r="K6" i="9"/>
  <c r="K5" i="9"/>
  <c r="K4" i="9"/>
  <c r="K3" i="9"/>
  <c r="K2" i="9"/>
  <c r="J2" i="9"/>
  <c r="L2" i="9" s="1"/>
  <c r="J3" i="9"/>
  <c r="J4" i="9"/>
  <c r="J5" i="9"/>
  <c r="J6" i="9"/>
  <c r="L6" i="9" s="1"/>
  <c r="J7" i="9"/>
  <c r="L7" i="9" s="1"/>
  <c r="J8" i="9"/>
  <c r="L8" i="9" s="1"/>
  <c r="J9" i="9"/>
  <c r="L9" i="9" s="1"/>
  <c r="J10" i="9"/>
  <c r="L10" i="9" s="1"/>
  <c r="J11" i="9"/>
  <c r="J12" i="9"/>
  <c r="J13" i="9"/>
  <c r="J14" i="9"/>
  <c r="L14" i="9" s="1"/>
  <c r="J15" i="9"/>
  <c r="L15" i="9" s="1"/>
  <c r="J16" i="9"/>
  <c r="L16" i="9" s="1"/>
  <c r="J17" i="9"/>
  <c r="L17" i="9" s="1"/>
  <c r="J18" i="9"/>
  <c r="L18" i="9" s="1"/>
  <c r="J19" i="9"/>
  <c r="J20" i="9"/>
  <c r="J21" i="9"/>
  <c r="J22" i="9"/>
  <c r="J23" i="9"/>
  <c r="J24" i="9"/>
  <c r="J25" i="9"/>
  <c r="L25" i="9" s="1"/>
  <c r="J26" i="9"/>
  <c r="L26" i="9" s="1"/>
  <c r="J27" i="9"/>
  <c r="J28" i="9"/>
  <c r="J29" i="9"/>
  <c r="J30" i="9"/>
  <c r="J31" i="9"/>
  <c r="L31" i="9" s="1"/>
  <c r="J32" i="9"/>
  <c r="L32" i="9" s="1"/>
  <c r="J33" i="9"/>
  <c r="L33" i="9" s="1"/>
  <c r="J34" i="9"/>
  <c r="L34" i="9" s="1"/>
  <c r="J35" i="9"/>
  <c r="L35" i="9" s="1"/>
  <c r="J36" i="9"/>
  <c r="J37" i="9"/>
  <c r="J38" i="9"/>
  <c r="J39" i="9"/>
  <c r="L39" i="9" s="1"/>
  <c r="J40" i="9"/>
  <c r="L40" i="9" s="1"/>
  <c r="J41" i="9"/>
  <c r="L41" i="9" s="1"/>
  <c r="J42" i="9"/>
  <c r="L42" i="9" s="1"/>
  <c r="J43" i="9"/>
  <c r="L43" i="9" s="1"/>
  <c r="J44" i="9"/>
  <c r="J45" i="9"/>
  <c r="J46" i="9"/>
  <c r="J47" i="9"/>
  <c r="L47" i="9" s="1"/>
  <c r="J48" i="9"/>
  <c r="L48" i="9" s="1"/>
  <c r="J49" i="9"/>
  <c r="L49" i="9" s="1"/>
  <c r="J50" i="9"/>
  <c r="L50" i="9" s="1"/>
  <c r="J51" i="9"/>
  <c r="L51" i="9" s="1"/>
  <c r="J52" i="9"/>
  <c r="L52" i="9" s="1"/>
  <c r="J53" i="9"/>
  <c r="L53" i="9" s="1"/>
  <c r="J55" i="9"/>
  <c r="L55" i="9" s="1"/>
  <c r="J57" i="9"/>
  <c r="J58" i="9"/>
  <c r="L58" i="9" s="1"/>
  <c r="H10" i="7"/>
  <c r="J10" i="7" s="1"/>
  <c r="J8" i="7"/>
  <c r="J7" i="7"/>
  <c r="J6" i="7"/>
  <c r="I661" i="5"/>
  <c r="H661" i="5"/>
  <c r="I660" i="5"/>
  <c r="H660" i="5"/>
  <c r="I659" i="5"/>
  <c r="H659" i="5"/>
  <c r="I658" i="5"/>
  <c r="H658" i="5"/>
  <c r="I657" i="5"/>
  <c r="H657" i="5"/>
  <c r="I656" i="5"/>
  <c r="H656" i="5"/>
  <c r="I655" i="5"/>
  <c r="H655" i="5"/>
  <c r="I654" i="5"/>
  <c r="H654" i="5"/>
  <c r="I653" i="5"/>
  <c r="H653" i="5"/>
  <c r="I652" i="5"/>
  <c r="H652" i="5"/>
  <c r="I651" i="5"/>
  <c r="H651" i="5"/>
  <c r="I650" i="5"/>
  <c r="H650" i="5"/>
  <c r="I649" i="5"/>
  <c r="H649" i="5"/>
  <c r="I648" i="5"/>
  <c r="H648" i="5"/>
  <c r="I647" i="5"/>
  <c r="H647" i="5"/>
  <c r="I646" i="5"/>
  <c r="H646" i="5"/>
  <c r="I645" i="5"/>
  <c r="H645" i="5"/>
  <c r="I644" i="5"/>
  <c r="H644" i="5"/>
  <c r="I643" i="5"/>
  <c r="H643" i="5"/>
  <c r="I642" i="5"/>
  <c r="H642" i="5"/>
  <c r="I641" i="5"/>
  <c r="H641" i="5"/>
  <c r="I640" i="5"/>
  <c r="H640" i="5"/>
  <c r="I639" i="5"/>
  <c r="H639" i="5"/>
  <c r="I638" i="5"/>
  <c r="H638" i="5"/>
  <c r="I637" i="5"/>
  <c r="H637" i="5"/>
  <c r="I636" i="5"/>
  <c r="H636" i="5"/>
  <c r="I635" i="5"/>
  <c r="H635" i="5"/>
  <c r="I634" i="5"/>
  <c r="H634" i="5"/>
  <c r="I633" i="5"/>
  <c r="H633" i="5"/>
  <c r="I632" i="5"/>
  <c r="H632" i="5"/>
  <c r="I631" i="5"/>
  <c r="H631" i="5"/>
  <c r="I630" i="5"/>
  <c r="H630" i="5"/>
  <c r="I629" i="5"/>
  <c r="H629" i="5"/>
  <c r="I628" i="5"/>
  <c r="H628" i="5"/>
  <c r="I627" i="5"/>
  <c r="H627" i="5"/>
  <c r="I626" i="5"/>
  <c r="H626" i="5"/>
  <c r="I625" i="5"/>
  <c r="H625" i="5"/>
  <c r="I624" i="5"/>
  <c r="H624" i="5"/>
  <c r="I623" i="5"/>
  <c r="H623" i="5"/>
  <c r="I622" i="5"/>
  <c r="H622" i="5"/>
  <c r="I621" i="5"/>
  <c r="H621" i="5"/>
  <c r="I620" i="5"/>
  <c r="H620" i="5"/>
  <c r="I619" i="5"/>
  <c r="H619" i="5"/>
  <c r="I618" i="5"/>
  <c r="H618" i="5"/>
  <c r="I617" i="5"/>
  <c r="H617" i="5"/>
  <c r="I616" i="5"/>
  <c r="H616" i="5"/>
  <c r="I615" i="5"/>
  <c r="H615" i="5"/>
  <c r="I614" i="5"/>
  <c r="H614" i="5"/>
  <c r="I613" i="5"/>
  <c r="H613" i="5"/>
  <c r="I612" i="5"/>
  <c r="H612" i="5"/>
  <c r="I611" i="5"/>
  <c r="H611" i="5"/>
  <c r="I610" i="5"/>
  <c r="H610" i="5"/>
  <c r="I609" i="5"/>
  <c r="H609" i="5"/>
  <c r="I608" i="5"/>
  <c r="H608" i="5"/>
  <c r="I607" i="5"/>
  <c r="H607" i="5"/>
  <c r="I606" i="5"/>
  <c r="H606" i="5"/>
  <c r="I605" i="5"/>
  <c r="H605" i="5"/>
  <c r="I604" i="5"/>
  <c r="H604" i="5"/>
  <c r="I603" i="5"/>
  <c r="H603" i="5"/>
  <c r="I602" i="5"/>
  <c r="H602" i="5"/>
  <c r="I601" i="5"/>
  <c r="H601" i="5"/>
  <c r="I600" i="5"/>
  <c r="H600" i="5"/>
  <c r="I599" i="5"/>
  <c r="H599" i="5"/>
  <c r="I598" i="5"/>
  <c r="H598" i="5"/>
  <c r="I597" i="5"/>
  <c r="H597" i="5"/>
  <c r="I596" i="5"/>
  <c r="H596" i="5"/>
  <c r="I595" i="5"/>
  <c r="H595" i="5"/>
  <c r="I594" i="5"/>
  <c r="H594" i="5"/>
  <c r="I593" i="5"/>
  <c r="H593" i="5"/>
  <c r="I592" i="5"/>
  <c r="H592" i="5"/>
  <c r="I591" i="5"/>
  <c r="H591" i="5"/>
  <c r="I590" i="5"/>
  <c r="H590" i="5"/>
  <c r="I589" i="5"/>
  <c r="H589" i="5"/>
  <c r="I588" i="5"/>
  <c r="H588" i="5"/>
  <c r="I587" i="5"/>
  <c r="H587" i="5"/>
  <c r="I586" i="5"/>
  <c r="H586" i="5"/>
  <c r="I585" i="5"/>
  <c r="H585" i="5"/>
  <c r="I584" i="5"/>
  <c r="H584" i="5"/>
  <c r="I583" i="5"/>
  <c r="H583" i="5"/>
  <c r="I582" i="5"/>
  <c r="H582" i="5"/>
  <c r="I581" i="5"/>
  <c r="H581" i="5"/>
  <c r="I580" i="5"/>
  <c r="H580" i="5"/>
  <c r="I579" i="5"/>
  <c r="H579" i="5"/>
  <c r="I578" i="5"/>
  <c r="H578" i="5"/>
  <c r="I577" i="5"/>
  <c r="H577" i="5"/>
  <c r="I576" i="5"/>
  <c r="H576" i="5"/>
  <c r="I575" i="5"/>
  <c r="H575" i="5"/>
  <c r="I574" i="5"/>
  <c r="H574" i="5"/>
  <c r="I573" i="5"/>
  <c r="H573" i="5"/>
  <c r="I572" i="5"/>
  <c r="H572" i="5"/>
  <c r="I571" i="5"/>
  <c r="H571" i="5"/>
  <c r="I570" i="5"/>
  <c r="H570" i="5"/>
  <c r="I569" i="5"/>
  <c r="H569" i="5"/>
  <c r="I568" i="5"/>
  <c r="H568" i="5"/>
  <c r="I567" i="5"/>
  <c r="H567" i="5"/>
  <c r="I566" i="5"/>
  <c r="H566" i="5"/>
  <c r="I565" i="5"/>
  <c r="H565" i="5"/>
  <c r="I564" i="5"/>
  <c r="H564" i="5"/>
  <c r="I563" i="5"/>
  <c r="H563" i="5"/>
  <c r="I562" i="5"/>
  <c r="H562" i="5"/>
  <c r="I561" i="5"/>
  <c r="H561" i="5"/>
  <c r="I560" i="5"/>
  <c r="H560" i="5"/>
  <c r="I559" i="5"/>
  <c r="H559" i="5"/>
  <c r="I558" i="5"/>
  <c r="H558" i="5"/>
  <c r="I557" i="5"/>
  <c r="H557" i="5"/>
  <c r="I556" i="5"/>
  <c r="H556" i="5"/>
  <c r="I555" i="5"/>
  <c r="H555" i="5"/>
  <c r="I554" i="5"/>
  <c r="H554" i="5"/>
  <c r="I553" i="5"/>
  <c r="H553" i="5"/>
  <c r="I552" i="5"/>
  <c r="H552" i="5"/>
  <c r="I551" i="5"/>
  <c r="H551" i="5"/>
  <c r="I550" i="5"/>
  <c r="H550" i="5"/>
  <c r="I549" i="5"/>
  <c r="H549" i="5"/>
  <c r="I548" i="5"/>
  <c r="H548" i="5"/>
  <c r="I547" i="5"/>
  <c r="H547" i="5"/>
  <c r="I546" i="5"/>
  <c r="H546" i="5"/>
  <c r="I545" i="5"/>
  <c r="H545" i="5"/>
  <c r="I544" i="5"/>
  <c r="H544" i="5"/>
  <c r="I543" i="5"/>
  <c r="H543" i="5"/>
  <c r="I542" i="5"/>
  <c r="H542" i="5"/>
  <c r="I541" i="5"/>
  <c r="H541" i="5"/>
  <c r="I540" i="5"/>
  <c r="H540" i="5"/>
  <c r="I539" i="5"/>
  <c r="H539" i="5"/>
  <c r="I538" i="5"/>
  <c r="H538" i="5"/>
  <c r="I537" i="5"/>
  <c r="H537" i="5"/>
  <c r="I536" i="5"/>
  <c r="H536" i="5"/>
  <c r="I535" i="5"/>
  <c r="H535" i="5"/>
  <c r="I534" i="5"/>
  <c r="H534" i="5"/>
  <c r="I533" i="5"/>
  <c r="H533" i="5"/>
  <c r="I532" i="5"/>
  <c r="H532" i="5"/>
  <c r="I531" i="5"/>
  <c r="H531" i="5"/>
  <c r="I530" i="5"/>
  <c r="H530" i="5"/>
  <c r="I529" i="5"/>
  <c r="H529" i="5"/>
  <c r="I528" i="5"/>
  <c r="H528" i="5"/>
  <c r="I527" i="5"/>
  <c r="H527" i="5"/>
  <c r="I526" i="5"/>
  <c r="H526" i="5"/>
  <c r="I525" i="5"/>
  <c r="H525" i="5"/>
  <c r="I524" i="5"/>
  <c r="H524" i="5"/>
  <c r="I523" i="5"/>
  <c r="H523" i="5"/>
  <c r="I522" i="5"/>
  <c r="H522" i="5"/>
  <c r="I521" i="5"/>
  <c r="H521" i="5"/>
  <c r="I520" i="5"/>
  <c r="H520" i="5"/>
  <c r="I519" i="5"/>
  <c r="H519" i="5"/>
  <c r="I518" i="5"/>
  <c r="H518" i="5"/>
  <c r="I517" i="5"/>
  <c r="H517" i="5"/>
  <c r="I516" i="5"/>
  <c r="H516" i="5"/>
  <c r="I515" i="5"/>
  <c r="H515" i="5"/>
  <c r="I514" i="5"/>
  <c r="H514" i="5"/>
  <c r="I513" i="5"/>
  <c r="H513" i="5"/>
  <c r="I512" i="5"/>
  <c r="H512" i="5"/>
  <c r="I511" i="5"/>
  <c r="H511" i="5"/>
  <c r="I510" i="5"/>
  <c r="H510" i="5"/>
  <c r="I509" i="5"/>
  <c r="H509" i="5"/>
  <c r="I508" i="5"/>
  <c r="H508" i="5"/>
  <c r="I507" i="5"/>
  <c r="H507" i="5"/>
  <c r="I506" i="5"/>
  <c r="H506" i="5"/>
  <c r="I505" i="5"/>
  <c r="H505" i="5"/>
  <c r="I504" i="5"/>
  <c r="H504" i="5"/>
  <c r="I503" i="5"/>
  <c r="H503" i="5"/>
  <c r="I502" i="5"/>
  <c r="H502" i="5"/>
  <c r="I501" i="5"/>
  <c r="H501" i="5"/>
  <c r="I500" i="5"/>
  <c r="H500" i="5"/>
  <c r="I499" i="5"/>
  <c r="H499" i="5"/>
  <c r="I498" i="5"/>
  <c r="H498" i="5"/>
  <c r="I497" i="5"/>
  <c r="H497" i="5"/>
  <c r="I496" i="5"/>
  <c r="H496" i="5"/>
  <c r="I495" i="5"/>
  <c r="H495" i="5"/>
  <c r="I494" i="5"/>
  <c r="H494" i="5"/>
  <c r="I493" i="5"/>
  <c r="H493" i="5"/>
  <c r="I492" i="5"/>
  <c r="H492" i="5"/>
  <c r="I491" i="5"/>
  <c r="H491" i="5"/>
  <c r="I490" i="5"/>
  <c r="H490" i="5"/>
  <c r="I489" i="5"/>
  <c r="H489" i="5"/>
  <c r="I488" i="5"/>
  <c r="H488" i="5"/>
  <c r="I487" i="5"/>
  <c r="H487" i="5"/>
  <c r="I486" i="5"/>
  <c r="H486" i="5"/>
  <c r="I485" i="5"/>
  <c r="H485" i="5"/>
  <c r="I484" i="5"/>
  <c r="H484" i="5"/>
  <c r="I483" i="5"/>
  <c r="H483" i="5"/>
  <c r="I482" i="5"/>
  <c r="H482" i="5"/>
  <c r="I481" i="5"/>
  <c r="H481" i="5"/>
  <c r="I480" i="5"/>
  <c r="H480" i="5"/>
  <c r="I479" i="5"/>
  <c r="H479" i="5"/>
  <c r="I478" i="5"/>
  <c r="H478" i="5"/>
  <c r="I477" i="5"/>
  <c r="H477" i="5"/>
  <c r="I476" i="5"/>
  <c r="H476" i="5"/>
  <c r="I475" i="5"/>
  <c r="H475" i="5"/>
  <c r="I474" i="5"/>
  <c r="H474" i="5"/>
  <c r="I473" i="5"/>
  <c r="H473" i="5"/>
  <c r="I472" i="5"/>
  <c r="H472" i="5"/>
  <c r="I471" i="5"/>
  <c r="H471" i="5"/>
  <c r="I470" i="5"/>
  <c r="H470" i="5"/>
  <c r="I469" i="5"/>
  <c r="H469" i="5"/>
  <c r="I468" i="5"/>
  <c r="H468" i="5"/>
  <c r="I467" i="5"/>
  <c r="H467" i="5"/>
  <c r="I466" i="5"/>
  <c r="H466" i="5"/>
  <c r="I465" i="5"/>
  <c r="H465" i="5"/>
  <c r="I464" i="5"/>
  <c r="H464" i="5"/>
  <c r="I463" i="5"/>
  <c r="H463" i="5"/>
  <c r="I462" i="5"/>
  <c r="H462" i="5"/>
  <c r="I461" i="5"/>
  <c r="H461" i="5"/>
  <c r="I460" i="5"/>
  <c r="H460" i="5"/>
  <c r="I459" i="5"/>
  <c r="H459" i="5"/>
  <c r="I458" i="5"/>
  <c r="H458" i="5"/>
  <c r="I457" i="5"/>
  <c r="H457" i="5"/>
  <c r="I456" i="5"/>
  <c r="H456" i="5"/>
  <c r="I455" i="5"/>
  <c r="H455" i="5"/>
  <c r="I454" i="5"/>
  <c r="H454" i="5"/>
  <c r="I453" i="5"/>
  <c r="H453" i="5"/>
  <c r="I452" i="5"/>
  <c r="H452" i="5"/>
  <c r="I451" i="5"/>
  <c r="H451" i="5"/>
  <c r="I450" i="5"/>
  <c r="H450" i="5"/>
  <c r="I449" i="5"/>
  <c r="H449" i="5"/>
  <c r="I448" i="5"/>
  <c r="H448" i="5"/>
  <c r="I447" i="5"/>
  <c r="H447" i="5"/>
  <c r="I446" i="5"/>
  <c r="H446" i="5"/>
  <c r="I445" i="5"/>
  <c r="H445" i="5"/>
  <c r="I444" i="5"/>
  <c r="H444" i="5"/>
  <c r="I443" i="5"/>
  <c r="H443" i="5"/>
  <c r="I442" i="5"/>
  <c r="H442" i="5"/>
  <c r="I441" i="5"/>
  <c r="H441" i="5"/>
  <c r="I440" i="5"/>
  <c r="H440" i="5"/>
  <c r="I439" i="5"/>
  <c r="H439" i="5"/>
  <c r="I438" i="5"/>
  <c r="H438" i="5"/>
  <c r="I437" i="5"/>
  <c r="H437" i="5"/>
  <c r="I436" i="5"/>
  <c r="H436" i="5"/>
  <c r="I435" i="5"/>
  <c r="H435" i="5"/>
  <c r="I434" i="5"/>
  <c r="H434" i="5"/>
  <c r="I433" i="5"/>
  <c r="H433" i="5"/>
  <c r="I432" i="5"/>
  <c r="H432" i="5"/>
  <c r="I431" i="5"/>
  <c r="H431" i="5"/>
  <c r="I430" i="5"/>
  <c r="H430" i="5"/>
  <c r="I429" i="5"/>
  <c r="H429" i="5"/>
  <c r="I428" i="5"/>
  <c r="H428" i="5"/>
  <c r="I427" i="5"/>
  <c r="H427" i="5"/>
  <c r="I426" i="5"/>
  <c r="H426" i="5"/>
  <c r="I425" i="5"/>
  <c r="H425" i="5"/>
  <c r="I424" i="5"/>
  <c r="H424" i="5"/>
  <c r="I423" i="5"/>
  <c r="H423" i="5"/>
  <c r="I422" i="5"/>
  <c r="H422" i="5"/>
  <c r="I421" i="5"/>
  <c r="H421" i="5"/>
  <c r="I420" i="5"/>
  <c r="H420" i="5"/>
  <c r="I419" i="5"/>
  <c r="H419" i="5"/>
  <c r="I418" i="5"/>
  <c r="H418" i="5"/>
  <c r="I417" i="5"/>
  <c r="H417" i="5"/>
  <c r="I416" i="5"/>
  <c r="H416" i="5"/>
  <c r="I415" i="5"/>
  <c r="H415" i="5"/>
  <c r="I414" i="5"/>
  <c r="H414" i="5"/>
  <c r="I413" i="5"/>
  <c r="H413" i="5"/>
  <c r="I412" i="5"/>
  <c r="H412" i="5"/>
  <c r="I411" i="5"/>
  <c r="H411" i="5"/>
  <c r="I410" i="5"/>
  <c r="H410" i="5"/>
  <c r="I409" i="5"/>
  <c r="H409" i="5"/>
  <c r="I408" i="5"/>
  <c r="H408" i="5"/>
  <c r="I407" i="5"/>
  <c r="H407" i="5"/>
  <c r="I406" i="5"/>
  <c r="H406" i="5"/>
  <c r="I405" i="5"/>
  <c r="H405" i="5"/>
  <c r="I404" i="5"/>
  <c r="H404" i="5"/>
  <c r="I403" i="5"/>
  <c r="H403" i="5"/>
  <c r="I402" i="5"/>
  <c r="H402" i="5"/>
  <c r="I401" i="5"/>
  <c r="H401" i="5"/>
  <c r="I400" i="5"/>
  <c r="H400" i="5"/>
  <c r="I399" i="5"/>
  <c r="H399" i="5"/>
  <c r="I398" i="5"/>
  <c r="H398" i="5"/>
  <c r="I397" i="5"/>
  <c r="H397" i="5"/>
  <c r="I396" i="5"/>
  <c r="H396" i="5"/>
  <c r="I395" i="5"/>
  <c r="H395" i="5"/>
  <c r="I394" i="5"/>
  <c r="H394" i="5"/>
  <c r="I393" i="5"/>
  <c r="H393" i="5"/>
  <c r="I392" i="5"/>
  <c r="H392" i="5"/>
  <c r="I391" i="5"/>
  <c r="H391" i="5"/>
  <c r="I390" i="5"/>
  <c r="H390" i="5"/>
  <c r="I389" i="5"/>
  <c r="H389" i="5"/>
  <c r="I388" i="5"/>
  <c r="H388" i="5"/>
  <c r="I387" i="5"/>
  <c r="H387" i="5"/>
  <c r="I386" i="5"/>
  <c r="H386" i="5"/>
  <c r="I385" i="5"/>
  <c r="H385" i="5"/>
  <c r="I384" i="5"/>
  <c r="H384" i="5"/>
  <c r="I383" i="5"/>
  <c r="H383" i="5"/>
  <c r="I382" i="5"/>
  <c r="H382" i="5"/>
  <c r="I381" i="5"/>
  <c r="H381" i="5"/>
  <c r="I380" i="5"/>
  <c r="H380" i="5"/>
  <c r="I379" i="5"/>
  <c r="H379" i="5"/>
  <c r="I378" i="5"/>
  <c r="H378" i="5"/>
  <c r="I377" i="5"/>
  <c r="H377" i="5"/>
  <c r="I376" i="5"/>
  <c r="H376" i="5"/>
  <c r="I375" i="5"/>
  <c r="H375" i="5"/>
  <c r="I374" i="5"/>
  <c r="H374" i="5"/>
  <c r="I373" i="5"/>
  <c r="H373" i="5"/>
  <c r="I372" i="5"/>
  <c r="H372" i="5"/>
  <c r="I371" i="5"/>
  <c r="H371" i="5"/>
  <c r="I370" i="5"/>
  <c r="H370" i="5"/>
  <c r="I369" i="5"/>
  <c r="H369" i="5"/>
  <c r="I368" i="5"/>
  <c r="H368" i="5"/>
  <c r="I367" i="5"/>
  <c r="H367" i="5"/>
  <c r="I366" i="5"/>
  <c r="H366" i="5"/>
  <c r="I365" i="5"/>
  <c r="H365" i="5"/>
  <c r="I364" i="5"/>
  <c r="H364" i="5"/>
  <c r="I363" i="5"/>
  <c r="H363" i="5"/>
  <c r="I362" i="5"/>
  <c r="H362" i="5"/>
  <c r="I361" i="5"/>
  <c r="H361" i="5"/>
  <c r="I360" i="5"/>
  <c r="H360" i="5"/>
  <c r="I359" i="5"/>
  <c r="H359" i="5"/>
  <c r="I358" i="5"/>
  <c r="H358" i="5"/>
  <c r="I357" i="5"/>
  <c r="H357" i="5"/>
  <c r="I356" i="5"/>
  <c r="H356" i="5"/>
  <c r="I355" i="5"/>
  <c r="H355" i="5"/>
  <c r="I354" i="5"/>
  <c r="H354" i="5"/>
  <c r="I353" i="5"/>
  <c r="H353" i="5"/>
  <c r="I352" i="5"/>
  <c r="H352" i="5"/>
  <c r="I351" i="5"/>
  <c r="H351" i="5"/>
  <c r="I350" i="5"/>
  <c r="H350" i="5"/>
  <c r="I349" i="5"/>
  <c r="H349" i="5"/>
  <c r="I348" i="5"/>
  <c r="H348" i="5"/>
  <c r="I347" i="5"/>
  <c r="H347" i="5"/>
  <c r="I346" i="5"/>
  <c r="H346" i="5"/>
  <c r="I345" i="5"/>
  <c r="H345" i="5"/>
  <c r="I344" i="5"/>
  <c r="H344" i="5"/>
  <c r="I343" i="5"/>
  <c r="H343" i="5"/>
  <c r="I342" i="5"/>
  <c r="H342" i="5"/>
  <c r="I341" i="5"/>
  <c r="H341" i="5"/>
  <c r="I340" i="5"/>
  <c r="H340" i="5"/>
  <c r="I339" i="5"/>
  <c r="H339" i="5"/>
  <c r="I338" i="5"/>
  <c r="H338" i="5"/>
  <c r="I337" i="5"/>
  <c r="H337" i="5"/>
  <c r="I336" i="5"/>
  <c r="H336" i="5"/>
  <c r="I335" i="5"/>
  <c r="H335" i="5"/>
  <c r="I334" i="5"/>
  <c r="H334" i="5"/>
  <c r="I333" i="5"/>
  <c r="H333" i="5"/>
  <c r="I332" i="5"/>
  <c r="H332" i="5"/>
  <c r="I331" i="5"/>
  <c r="H331" i="5"/>
  <c r="I330" i="5"/>
  <c r="H330" i="5"/>
  <c r="I329" i="5"/>
  <c r="H329" i="5"/>
  <c r="I328" i="5"/>
  <c r="H328" i="5"/>
  <c r="I327" i="5"/>
  <c r="H327" i="5"/>
  <c r="I326" i="5"/>
  <c r="H326" i="5"/>
  <c r="I325" i="5"/>
  <c r="H325" i="5"/>
  <c r="I324" i="5"/>
  <c r="H324" i="5"/>
  <c r="I323" i="5"/>
  <c r="H323" i="5"/>
  <c r="I322" i="5"/>
  <c r="H322" i="5"/>
  <c r="I321" i="5"/>
  <c r="H321" i="5"/>
  <c r="I320" i="5"/>
  <c r="H320" i="5"/>
  <c r="I319" i="5"/>
  <c r="H319" i="5"/>
  <c r="I318" i="5"/>
  <c r="H318" i="5"/>
  <c r="I317" i="5"/>
  <c r="H317" i="5"/>
  <c r="I316" i="5"/>
  <c r="H316" i="5"/>
  <c r="I315" i="5"/>
  <c r="H315" i="5"/>
  <c r="I314" i="5"/>
  <c r="H314" i="5"/>
  <c r="I313" i="5"/>
  <c r="H313" i="5"/>
  <c r="I312" i="5"/>
  <c r="H312" i="5"/>
  <c r="I311" i="5"/>
  <c r="H311" i="5"/>
  <c r="I310" i="5"/>
  <c r="H310" i="5"/>
  <c r="I309" i="5"/>
  <c r="H309" i="5"/>
  <c r="I308" i="5"/>
  <c r="H308" i="5"/>
  <c r="I307" i="5"/>
  <c r="H307" i="5"/>
  <c r="I306" i="5"/>
  <c r="H306" i="5"/>
  <c r="I305" i="5"/>
  <c r="H305" i="5"/>
  <c r="I304" i="5"/>
  <c r="H304" i="5"/>
  <c r="I303" i="5"/>
  <c r="H303" i="5"/>
  <c r="I302" i="5"/>
  <c r="H302" i="5"/>
  <c r="I301" i="5"/>
  <c r="H301" i="5"/>
  <c r="I300" i="5"/>
  <c r="H300" i="5"/>
  <c r="I299" i="5"/>
  <c r="H299" i="5"/>
  <c r="I298" i="5"/>
  <c r="H298" i="5"/>
  <c r="I297" i="5"/>
  <c r="H297" i="5"/>
  <c r="I296" i="5"/>
  <c r="H296" i="5"/>
  <c r="I295" i="5"/>
  <c r="H295" i="5"/>
  <c r="I294" i="5"/>
  <c r="H294" i="5"/>
  <c r="I293" i="5"/>
  <c r="H293" i="5"/>
  <c r="I292" i="5"/>
  <c r="H292" i="5"/>
  <c r="I291" i="5"/>
  <c r="H291" i="5"/>
  <c r="I290" i="5"/>
  <c r="H290" i="5"/>
  <c r="I289" i="5"/>
  <c r="H289" i="5"/>
  <c r="I288" i="5"/>
  <c r="H288" i="5"/>
  <c r="I287" i="5"/>
  <c r="H287" i="5"/>
  <c r="I286" i="5"/>
  <c r="H286" i="5"/>
  <c r="I285" i="5"/>
  <c r="H285" i="5"/>
  <c r="I284" i="5"/>
  <c r="H284" i="5"/>
  <c r="I283" i="5"/>
  <c r="H283" i="5"/>
  <c r="I282" i="5"/>
  <c r="H282" i="5"/>
  <c r="I281" i="5"/>
  <c r="H281" i="5"/>
  <c r="I280" i="5"/>
  <c r="H280" i="5"/>
  <c r="I279" i="5"/>
  <c r="H279" i="5"/>
  <c r="I278" i="5"/>
  <c r="H278" i="5"/>
  <c r="I277" i="5"/>
  <c r="H277" i="5"/>
  <c r="I276" i="5"/>
  <c r="H276" i="5"/>
  <c r="I275" i="5"/>
  <c r="H275" i="5"/>
  <c r="I274" i="5"/>
  <c r="H274" i="5"/>
  <c r="I273" i="5"/>
  <c r="H273" i="5"/>
  <c r="I272" i="5"/>
  <c r="H272" i="5"/>
  <c r="I271" i="5"/>
  <c r="H271" i="5"/>
  <c r="I270" i="5"/>
  <c r="H270" i="5"/>
  <c r="I269" i="5"/>
  <c r="H269" i="5"/>
  <c r="I268" i="5"/>
  <c r="H268" i="5"/>
  <c r="I267" i="5"/>
  <c r="H267" i="5"/>
  <c r="I266" i="5"/>
  <c r="H266" i="5"/>
  <c r="I265" i="5"/>
  <c r="H265" i="5"/>
  <c r="I264" i="5"/>
  <c r="H264" i="5"/>
  <c r="I263" i="5"/>
  <c r="H263" i="5"/>
  <c r="I262" i="5"/>
  <c r="H262" i="5"/>
  <c r="I261" i="5"/>
  <c r="H261" i="5"/>
  <c r="I260" i="5"/>
  <c r="H260" i="5"/>
  <c r="I259" i="5"/>
  <c r="H259" i="5"/>
  <c r="I258" i="5"/>
  <c r="H258" i="5"/>
  <c r="I257" i="5"/>
  <c r="H257" i="5"/>
  <c r="I256" i="5"/>
  <c r="H256" i="5"/>
  <c r="I255" i="5"/>
  <c r="H255" i="5"/>
  <c r="I254" i="5"/>
  <c r="H254" i="5"/>
  <c r="I253" i="5"/>
  <c r="H253" i="5"/>
  <c r="I252" i="5"/>
  <c r="H252" i="5"/>
  <c r="I251" i="5"/>
  <c r="H251" i="5"/>
  <c r="I250" i="5"/>
  <c r="H250" i="5"/>
  <c r="I249" i="5"/>
  <c r="H249" i="5"/>
  <c r="G249" i="5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G383" i="5" s="1"/>
  <c r="G384" i="5" s="1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G513" i="5" s="1"/>
  <c r="G514" i="5" s="1"/>
  <c r="G515" i="5" s="1"/>
  <c r="G516" i="5" s="1"/>
  <c r="G517" i="5" s="1"/>
  <c r="G518" i="5" s="1"/>
  <c r="G519" i="5" s="1"/>
  <c r="G520" i="5" s="1"/>
  <c r="G521" i="5" s="1"/>
  <c r="G522" i="5" s="1"/>
  <c r="G523" i="5" s="1"/>
  <c r="G524" i="5" s="1"/>
  <c r="G525" i="5" s="1"/>
  <c r="G526" i="5" s="1"/>
  <c r="G527" i="5" s="1"/>
  <c r="G528" i="5" s="1"/>
  <c r="G529" i="5" s="1"/>
  <c r="G530" i="5" s="1"/>
  <c r="G531" i="5" s="1"/>
  <c r="G532" i="5" s="1"/>
  <c r="G533" i="5" s="1"/>
  <c r="G534" i="5" s="1"/>
  <c r="G535" i="5" s="1"/>
  <c r="G536" i="5" s="1"/>
  <c r="G537" i="5" s="1"/>
  <c r="G538" i="5" s="1"/>
  <c r="G539" i="5" s="1"/>
  <c r="G540" i="5" s="1"/>
  <c r="G541" i="5" s="1"/>
  <c r="G542" i="5" s="1"/>
  <c r="G543" i="5" s="1"/>
  <c r="G544" i="5" s="1"/>
  <c r="G545" i="5" s="1"/>
  <c r="G546" i="5" s="1"/>
  <c r="G547" i="5" s="1"/>
  <c r="G548" i="5" s="1"/>
  <c r="G549" i="5" s="1"/>
  <c r="G550" i="5" s="1"/>
  <c r="G551" i="5" s="1"/>
  <c r="G552" i="5" s="1"/>
  <c r="G553" i="5" s="1"/>
  <c r="G554" i="5" s="1"/>
  <c r="G555" i="5" s="1"/>
  <c r="G556" i="5" s="1"/>
  <c r="G557" i="5" s="1"/>
  <c r="G558" i="5" s="1"/>
  <c r="G559" i="5" s="1"/>
  <c r="G560" i="5" s="1"/>
  <c r="G561" i="5" s="1"/>
  <c r="G562" i="5" s="1"/>
  <c r="G563" i="5" s="1"/>
  <c r="G564" i="5" s="1"/>
  <c r="G565" i="5" s="1"/>
  <c r="G566" i="5" s="1"/>
  <c r="G567" i="5" s="1"/>
  <c r="G568" i="5" s="1"/>
  <c r="G569" i="5" s="1"/>
  <c r="G570" i="5" s="1"/>
  <c r="G571" i="5" s="1"/>
  <c r="G572" i="5" s="1"/>
  <c r="G573" i="5" s="1"/>
  <c r="G574" i="5" s="1"/>
  <c r="G575" i="5" s="1"/>
  <c r="G576" i="5" s="1"/>
  <c r="G577" i="5" s="1"/>
  <c r="G578" i="5" s="1"/>
  <c r="G579" i="5" s="1"/>
  <c r="G580" i="5" s="1"/>
  <c r="G581" i="5" s="1"/>
  <c r="G582" i="5" s="1"/>
  <c r="G583" i="5" s="1"/>
  <c r="G584" i="5" s="1"/>
  <c r="G585" i="5" s="1"/>
  <c r="G586" i="5" s="1"/>
  <c r="G587" i="5" s="1"/>
  <c r="G588" i="5" s="1"/>
  <c r="G589" i="5" s="1"/>
  <c r="G590" i="5" s="1"/>
  <c r="G591" i="5" s="1"/>
  <c r="G592" i="5" s="1"/>
  <c r="G593" i="5" s="1"/>
  <c r="G594" i="5" s="1"/>
  <c r="G595" i="5" s="1"/>
  <c r="G596" i="5" s="1"/>
  <c r="G597" i="5" s="1"/>
  <c r="G598" i="5" s="1"/>
  <c r="G599" i="5" s="1"/>
  <c r="G600" i="5" s="1"/>
  <c r="G601" i="5" s="1"/>
  <c r="G602" i="5" s="1"/>
  <c r="G603" i="5" s="1"/>
  <c r="G604" i="5" s="1"/>
  <c r="G605" i="5" s="1"/>
  <c r="G606" i="5" s="1"/>
  <c r="G607" i="5" s="1"/>
  <c r="G608" i="5" s="1"/>
  <c r="G609" i="5" s="1"/>
  <c r="G610" i="5" s="1"/>
  <c r="G611" i="5" s="1"/>
  <c r="G612" i="5" s="1"/>
  <c r="G613" i="5" s="1"/>
  <c r="G614" i="5" s="1"/>
  <c r="G615" i="5" s="1"/>
  <c r="G616" i="5" s="1"/>
  <c r="G617" i="5" s="1"/>
  <c r="G618" i="5" s="1"/>
  <c r="G619" i="5" s="1"/>
  <c r="G620" i="5" s="1"/>
  <c r="G621" i="5" s="1"/>
  <c r="G622" i="5" s="1"/>
  <c r="G623" i="5" s="1"/>
  <c r="G624" i="5" s="1"/>
  <c r="G625" i="5" s="1"/>
  <c r="G626" i="5" s="1"/>
  <c r="G627" i="5" s="1"/>
  <c r="G628" i="5" s="1"/>
  <c r="G629" i="5" s="1"/>
  <c r="G630" i="5" s="1"/>
  <c r="G631" i="5" s="1"/>
  <c r="G632" i="5" s="1"/>
  <c r="G633" i="5" s="1"/>
  <c r="G634" i="5" s="1"/>
  <c r="G635" i="5" s="1"/>
  <c r="G636" i="5" s="1"/>
  <c r="G637" i="5" s="1"/>
  <c r="G638" i="5" s="1"/>
  <c r="G639" i="5" s="1"/>
  <c r="G640" i="5" s="1"/>
  <c r="G641" i="5" s="1"/>
  <c r="G642" i="5" s="1"/>
  <c r="G643" i="5" s="1"/>
  <c r="G644" i="5" s="1"/>
  <c r="G645" i="5" s="1"/>
  <c r="G646" i="5" s="1"/>
  <c r="G647" i="5" s="1"/>
  <c r="G648" i="5" s="1"/>
  <c r="G649" i="5" s="1"/>
  <c r="G650" i="5" s="1"/>
  <c r="G651" i="5" s="1"/>
  <c r="G652" i="5" s="1"/>
  <c r="G653" i="5" s="1"/>
  <c r="G654" i="5" s="1"/>
  <c r="G655" i="5" s="1"/>
  <c r="G656" i="5" s="1"/>
  <c r="G657" i="5" s="1"/>
  <c r="G658" i="5" s="1"/>
  <c r="G659" i="5" s="1"/>
  <c r="G660" i="5" s="1"/>
  <c r="I248" i="5"/>
  <c r="H248" i="5"/>
  <c r="I247" i="5"/>
  <c r="H247" i="5"/>
  <c r="I246" i="5"/>
  <c r="H246" i="5"/>
  <c r="I245" i="5"/>
  <c r="H245" i="5"/>
  <c r="I244" i="5"/>
  <c r="H244" i="5"/>
  <c r="I243" i="5"/>
  <c r="H243" i="5"/>
  <c r="I242" i="5"/>
  <c r="H242" i="5"/>
  <c r="I241" i="5"/>
  <c r="H241" i="5"/>
  <c r="I240" i="5"/>
  <c r="H240" i="5"/>
  <c r="I239" i="5"/>
  <c r="H239" i="5"/>
  <c r="I238" i="5"/>
  <c r="H238" i="5"/>
  <c r="I237" i="5"/>
  <c r="H237" i="5"/>
  <c r="I236" i="5"/>
  <c r="H236" i="5"/>
  <c r="I235" i="5"/>
  <c r="H235" i="5"/>
  <c r="I234" i="5"/>
  <c r="H234" i="5"/>
  <c r="I233" i="5"/>
  <c r="H233" i="5"/>
  <c r="I232" i="5"/>
  <c r="H232" i="5"/>
  <c r="I231" i="5"/>
  <c r="H231" i="5"/>
  <c r="I230" i="5"/>
  <c r="H230" i="5"/>
  <c r="I229" i="5"/>
  <c r="H229" i="5"/>
  <c r="I228" i="5"/>
  <c r="H228" i="5"/>
  <c r="I227" i="5"/>
  <c r="H227" i="5"/>
  <c r="I226" i="5"/>
  <c r="H226" i="5"/>
  <c r="I225" i="5"/>
  <c r="H225" i="5"/>
  <c r="I224" i="5"/>
  <c r="H224" i="5"/>
  <c r="I223" i="5"/>
  <c r="H223" i="5"/>
  <c r="I222" i="5"/>
  <c r="H222" i="5"/>
  <c r="I221" i="5"/>
  <c r="H221" i="5"/>
  <c r="I220" i="5"/>
  <c r="H220" i="5"/>
  <c r="I219" i="5"/>
  <c r="H219" i="5"/>
  <c r="I218" i="5"/>
  <c r="H218" i="5"/>
  <c r="I217" i="5"/>
  <c r="H217" i="5"/>
  <c r="I216" i="5"/>
  <c r="H216" i="5"/>
  <c r="I215" i="5"/>
  <c r="H215" i="5"/>
  <c r="I214" i="5"/>
  <c r="H214" i="5"/>
  <c r="I213" i="5"/>
  <c r="H213" i="5"/>
  <c r="I212" i="5"/>
  <c r="H212" i="5"/>
  <c r="I211" i="5"/>
  <c r="H211" i="5"/>
  <c r="I210" i="5"/>
  <c r="H210" i="5"/>
  <c r="I209" i="5"/>
  <c r="H209" i="5"/>
  <c r="I208" i="5"/>
  <c r="H208" i="5"/>
  <c r="I207" i="5"/>
  <c r="H207" i="5"/>
  <c r="I206" i="5"/>
  <c r="H206" i="5"/>
  <c r="I205" i="5"/>
  <c r="H205" i="5"/>
  <c r="I204" i="5"/>
  <c r="H204" i="5"/>
  <c r="I203" i="5"/>
  <c r="H203" i="5"/>
  <c r="I202" i="5"/>
  <c r="H202" i="5"/>
  <c r="I201" i="5"/>
  <c r="H201" i="5"/>
  <c r="I200" i="5"/>
  <c r="H200" i="5"/>
  <c r="I199" i="5"/>
  <c r="H199" i="5"/>
  <c r="I198" i="5"/>
  <c r="H198" i="5"/>
  <c r="I197" i="5"/>
  <c r="H197" i="5"/>
  <c r="I196" i="5"/>
  <c r="H196" i="5"/>
  <c r="I195" i="5"/>
  <c r="H195" i="5"/>
  <c r="I194" i="5"/>
  <c r="H194" i="5"/>
  <c r="I193" i="5"/>
  <c r="H193" i="5"/>
  <c r="I192" i="5"/>
  <c r="H192" i="5"/>
  <c r="I191" i="5"/>
  <c r="H191" i="5"/>
  <c r="I190" i="5"/>
  <c r="H190" i="5"/>
  <c r="I189" i="5"/>
  <c r="H189" i="5"/>
  <c r="I188" i="5"/>
  <c r="H188" i="5"/>
  <c r="I187" i="5"/>
  <c r="H187" i="5"/>
  <c r="I186" i="5"/>
  <c r="H186" i="5"/>
  <c r="I185" i="5"/>
  <c r="H185" i="5"/>
  <c r="I184" i="5"/>
  <c r="H184" i="5"/>
  <c r="I183" i="5"/>
  <c r="H183" i="5"/>
  <c r="I182" i="5"/>
  <c r="H182" i="5"/>
  <c r="I181" i="5"/>
  <c r="H181" i="5"/>
  <c r="I180" i="5"/>
  <c r="H180" i="5"/>
  <c r="I179" i="5"/>
  <c r="H179" i="5"/>
  <c r="I178" i="5"/>
  <c r="H178" i="5"/>
  <c r="I177" i="5"/>
  <c r="H177" i="5"/>
  <c r="I176" i="5"/>
  <c r="H176" i="5"/>
  <c r="I175" i="5"/>
  <c r="H175" i="5"/>
  <c r="I174" i="5"/>
  <c r="H174" i="5"/>
  <c r="I173" i="5"/>
  <c r="H173" i="5"/>
  <c r="I172" i="5"/>
  <c r="H172" i="5"/>
  <c r="I171" i="5"/>
  <c r="H171" i="5"/>
  <c r="I170" i="5"/>
  <c r="H170" i="5"/>
  <c r="I169" i="5"/>
  <c r="H169" i="5"/>
  <c r="I168" i="5"/>
  <c r="H168" i="5"/>
  <c r="I167" i="5"/>
  <c r="H167" i="5"/>
  <c r="I166" i="5"/>
  <c r="H166" i="5"/>
  <c r="I165" i="5"/>
  <c r="H165" i="5"/>
  <c r="I164" i="5"/>
  <c r="H164" i="5"/>
  <c r="I163" i="5"/>
  <c r="H163" i="5"/>
  <c r="I162" i="5"/>
  <c r="H162" i="5"/>
  <c r="I161" i="5"/>
  <c r="H161" i="5"/>
  <c r="I160" i="5"/>
  <c r="H160" i="5"/>
  <c r="I159" i="5"/>
  <c r="H159" i="5"/>
  <c r="I158" i="5"/>
  <c r="H158" i="5"/>
  <c r="I157" i="5"/>
  <c r="H157" i="5"/>
  <c r="I156" i="5"/>
  <c r="H156" i="5"/>
  <c r="I155" i="5"/>
  <c r="H155" i="5"/>
  <c r="I154" i="5"/>
  <c r="H154" i="5"/>
  <c r="I153" i="5"/>
  <c r="H153" i="5"/>
  <c r="I152" i="5"/>
  <c r="H152" i="5"/>
  <c r="I151" i="5"/>
  <c r="H151" i="5"/>
  <c r="I150" i="5"/>
  <c r="H150" i="5"/>
  <c r="I149" i="5"/>
  <c r="H149" i="5"/>
  <c r="I148" i="5"/>
  <c r="H148" i="5"/>
  <c r="I147" i="5"/>
  <c r="H147" i="5"/>
  <c r="I146" i="5"/>
  <c r="H146" i="5"/>
  <c r="I145" i="5"/>
  <c r="H145" i="5"/>
  <c r="I144" i="5"/>
  <c r="H144" i="5"/>
  <c r="I143" i="5"/>
  <c r="H143" i="5"/>
  <c r="I142" i="5"/>
  <c r="H142" i="5"/>
  <c r="I141" i="5"/>
  <c r="H141" i="5"/>
  <c r="I140" i="5"/>
  <c r="H140" i="5"/>
  <c r="I139" i="5"/>
  <c r="H139" i="5"/>
  <c r="I138" i="5"/>
  <c r="H138" i="5"/>
  <c r="I137" i="5"/>
  <c r="H137" i="5"/>
  <c r="I136" i="5"/>
  <c r="H136" i="5"/>
  <c r="I135" i="5"/>
  <c r="H135" i="5"/>
  <c r="I134" i="5"/>
  <c r="H134" i="5"/>
  <c r="I133" i="5"/>
  <c r="H133" i="5"/>
  <c r="I132" i="5"/>
  <c r="H132" i="5"/>
  <c r="I131" i="5"/>
  <c r="H131" i="5"/>
  <c r="I130" i="5"/>
  <c r="H130" i="5"/>
  <c r="I129" i="5"/>
  <c r="H129" i="5"/>
  <c r="I128" i="5"/>
  <c r="H128" i="5"/>
  <c r="I127" i="5"/>
  <c r="H127" i="5"/>
  <c r="I126" i="5"/>
  <c r="H126" i="5"/>
  <c r="I125" i="5"/>
  <c r="H125" i="5"/>
  <c r="I124" i="5"/>
  <c r="H124" i="5"/>
  <c r="I123" i="5"/>
  <c r="H123" i="5"/>
  <c r="I122" i="5"/>
  <c r="H122" i="5"/>
  <c r="I121" i="5"/>
  <c r="H121" i="5"/>
  <c r="I120" i="5"/>
  <c r="H120" i="5"/>
  <c r="I119" i="5"/>
  <c r="H119" i="5"/>
  <c r="I118" i="5"/>
  <c r="H118" i="5"/>
  <c r="I117" i="5"/>
  <c r="H117" i="5"/>
  <c r="I116" i="5"/>
  <c r="H116" i="5"/>
  <c r="I115" i="5"/>
  <c r="H115" i="5"/>
  <c r="I114" i="5"/>
  <c r="H114" i="5"/>
  <c r="I113" i="5"/>
  <c r="H113" i="5"/>
  <c r="I112" i="5"/>
  <c r="H112" i="5"/>
  <c r="I111" i="5"/>
  <c r="H111" i="5"/>
  <c r="I110" i="5"/>
  <c r="H110" i="5"/>
  <c r="I109" i="5"/>
  <c r="H109" i="5"/>
  <c r="I108" i="5"/>
  <c r="H108" i="5"/>
  <c r="I107" i="5"/>
  <c r="H107" i="5"/>
  <c r="I106" i="5"/>
  <c r="H106" i="5"/>
  <c r="I105" i="5"/>
  <c r="H105" i="5"/>
  <c r="I104" i="5"/>
  <c r="H104" i="5"/>
  <c r="I103" i="5"/>
  <c r="H103" i="5"/>
  <c r="I102" i="5"/>
  <c r="H102" i="5"/>
  <c r="I101" i="5"/>
  <c r="H101" i="5"/>
  <c r="I100" i="5"/>
  <c r="H100" i="5"/>
  <c r="I99" i="5"/>
  <c r="H99" i="5"/>
  <c r="I98" i="5"/>
  <c r="H98" i="5"/>
  <c r="I97" i="5"/>
  <c r="H97" i="5"/>
  <c r="I96" i="5"/>
  <c r="H96" i="5"/>
  <c r="I95" i="5"/>
  <c r="H95" i="5"/>
  <c r="I94" i="5"/>
  <c r="H94" i="5"/>
  <c r="I93" i="5"/>
  <c r="H93" i="5"/>
  <c r="I92" i="5"/>
  <c r="H92" i="5"/>
  <c r="I91" i="5"/>
  <c r="H91" i="5"/>
  <c r="I90" i="5"/>
  <c r="H90" i="5"/>
  <c r="I89" i="5"/>
  <c r="H89" i="5"/>
  <c r="I88" i="5"/>
  <c r="H88" i="5"/>
  <c r="I87" i="5"/>
  <c r="H87" i="5"/>
  <c r="I86" i="5"/>
  <c r="H86" i="5"/>
  <c r="I85" i="5"/>
  <c r="H85" i="5"/>
  <c r="I84" i="5"/>
  <c r="H84" i="5"/>
  <c r="I83" i="5"/>
  <c r="H83" i="5"/>
  <c r="I82" i="5"/>
  <c r="H82" i="5"/>
  <c r="I81" i="5"/>
  <c r="H81" i="5"/>
  <c r="I80" i="5"/>
  <c r="H80" i="5"/>
  <c r="I79" i="5"/>
  <c r="H79" i="5"/>
  <c r="I78" i="5"/>
  <c r="H78" i="5"/>
  <c r="I77" i="5"/>
  <c r="H77" i="5"/>
  <c r="I76" i="5"/>
  <c r="H76" i="5"/>
  <c r="I75" i="5"/>
  <c r="H75" i="5"/>
  <c r="I74" i="5"/>
  <c r="H74" i="5"/>
  <c r="I73" i="5"/>
  <c r="H73" i="5"/>
  <c r="I72" i="5"/>
  <c r="H72" i="5"/>
  <c r="I71" i="5"/>
  <c r="H71" i="5"/>
  <c r="I70" i="5"/>
  <c r="H70" i="5"/>
  <c r="I69" i="5"/>
  <c r="H69" i="5"/>
  <c r="I68" i="5"/>
  <c r="H68" i="5"/>
  <c r="I67" i="5"/>
  <c r="H67" i="5"/>
  <c r="I66" i="5"/>
  <c r="H66" i="5"/>
  <c r="I65" i="5"/>
  <c r="H65" i="5"/>
  <c r="I64" i="5"/>
  <c r="H64" i="5"/>
  <c r="I63" i="5"/>
  <c r="H63" i="5"/>
  <c r="I62" i="5"/>
  <c r="H62" i="5"/>
  <c r="I61" i="5"/>
  <c r="H61" i="5"/>
  <c r="I60" i="5"/>
  <c r="H60" i="5"/>
  <c r="I59" i="5"/>
  <c r="H59" i="5"/>
  <c r="I58" i="5"/>
  <c r="H58" i="5"/>
  <c r="I57" i="5"/>
  <c r="H57" i="5"/>
  <c r="I56" i="5"/>
  <c r="H56" i="5"/>
  <c r="I55" i="5"/>
  <c r="H55" i="5"/>
  <c r="I54" i="5"/>
  <c r="H54" i="5"/>
  <c r="I53" i="5"/>
  <c r="H53" i="5"/>
  <c r="I52" i="5"/>
  <c r="H52" i="5"/>
  <c r="I51" i="5"/>
  <c r="H51" i="5"/>
  <c r="I50" i="5"/>
  <c r="H50" i="5"/>
  <c r="I49" i="5"/>
  <c r="H49" i="5"/>
  <c r="I48" i="5"/>
  <c r="H48" i="5"/>
  <c r="I47" i="5"/>
  <c r="H47" i="5"/>
  <c r="I46" i="5"/>
  <c r="H46" i="5"/>
  <c r="I45" i="5"/>
  <c r="H45" i="5"/>
  <c r="I44" i="5"/>
  <c r="H44" i="5"/>
  <c r="I43" i="5"/>
  <c r="H43" i="5"/>
  <c r="I42" i="5"/>
  <c r="H42" i="5"/>
  <c r="I41" i="5"/>
  <c r="H41" i="5"/>
  <c r="I40" i="5"/>
  <c r="H40" i="5"/>
  <c r="I39" i="5"/>
  <c r="H39" i="5"/>
  <c r="I38" i="5"/>
  <c r="H38" i="5"/>
  <c r="I37" i="5"/>
  <c r="H37" i="5"/>
  <c r="I36" i="5"/>
  <c r="H36" i="5"/>
  <c r="I35" i="5"/>
  <c r="H35" i="5"/>
  <c r="I34" i="5"/>
  <c r="H34" i="5"/>
  <c r="I33" i="5"/>
  <c r="H33" i="5"/>
  <c r="I32" i="5"/>
  <c r="H32" i="5"/>
  <c r="I31" i="5"/>
  <c r="H31" i="5"/>
  <c r="I30" i="5"/>
  <c r="H30" i="5"/>
  <c r="I29" i="5"/>
  <c r="H29" i="5"/>
  <c r="I28" i="5"/>
  <c r="H28" i="5"/>
  <c r="I27" i="5"/>
  <c r="H27" i="5"/>
  <c r="I26" i="5"/>
  <c r="H26" i="5"/>
  <c r="I25" i="5"/>
  <c r="H25" i="5"/>
  <c r="I24" i="5"/>
  <c r="H24" i="5"/>
  <c r="I23" i="5"/>
  <c r="H23" i="5"/>
  <c r="I22" i="5"/>
  <c r="H22" i="5"/>
  <c r="I21" i="5"/>
  <c r="H21" i="5"/>
  <c r="I20" i="5"/>
  <c r="H20" i="5"/>
  <c r="I19" i="5"/>
  <c r="H19" i="5"/>
  <c r="I18" i="5"/>
  <c r="H18" i="5"/>
  <c r="I17" i="5"/>
  <c r="H17" i="5"/>
  <c r="I16" i="5"/>
  <c r="H16" i="5"/>
  <c r="I15" i="5"/>
  <c r="H15" i="5"/>
  <c r="I14" i="5"/>
  <c r="H14" i="5"/>
  <c r="I13" i="5"/>
  <c r="H13" i="5"/>
  <c r="I12" i="5"/>
  <c r="H12" i="5"/>
  <c r="I11" i="5"/>
  <c r="H11" i="5"/>
  <c r="I10" i="5"/>
  <c r="H10" i="5"/>
  <c r="I9" i="5"/>
  <c r="H9" i="5"/>
  <c r="I8" i="5"/>
  <c r="H8" i="5"/>
  <c r="I7" i="5"/>
  <c r="H7" i="5"/>
  <c r="I6" i="5"/>
  <c r="H6" i="5"/>
  <c r="I5" i="5"/>
  <c r="H5" i="5"/>
  <c r="G5" i="5"/>
  <c r="G6" i="5" s="1"/>
  <c r="G7" i="5" s="1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I4" i="5"/>
  <c r="H4" i="5"/>
  <c r="I3" i="5"/>
  <c r="H3" i="5"/>
  <c r="K2" i="5"/>
  <c r="I2" i="5"/>
  <c r="H2" i="5"/>
  <c r="J2" i="5" s="1"/>
  <c r="G2" i="5"/>
  <c r="G3" i="5" s="1"/>
  <c r="G4" i="5" s="1"/>
  <c r="J6" i="1"/>
  <c r="J10" i="1"/>
  <c r="J8" i="1"/>
  <c r="J7" i="1"/>
  <c r="H10" i="1"/>
  <c r="L37" i="9" l="1"/>
  <c r="L21" i="9"/>
  <c r="L5" i="9"/>
  <c r="L44" i="9"/>
  <c r="L36" i="9"/>
  <c r="L28" i="9"/>
  <c r="L20" i="9"/>
  <c r="L12" i="9"/>
  <c r="L4" i="9"/>
  <c r="L45" i="9"/>
  <c r="L29" i="9"/>
  <c r="L13" i="9"/>
  <c r="L27" i="9"/>
  <c r="L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66D4A4-BF93-467E-B02E-F7C1A8571F49}" keepAlive="1" name="Requête - Clienst x Cégorie" description="Connexion à la requête « Clienst x Cégorie » dans le classeur." type="5" refreshedVersion="8" background="1" saveData="1">
    <dbPr connection="Provider=Microsoft.Mashup.OleDb.1;Data Source=$Workbook$;Location=&quot;Clienst x Cégorie&quot;;Extended Properties=&quot;&quot;" command="SELECT * FROM [Clienst x Cégorie]"/>
  </connection>
  <connection id="2" xr16:uid="{FB8EEC81-F6C9-4921-9EE8-6FF9A9708EA7}" keepAlive="1" name="Requête - Clienst x Cégorie bien de conso" description="Connexion à la requête « Clienst x Cégorie bien de conso » dans le classeur." type="5" refreshedVersion="8" background="1" saveData="1">
    <dbPr connection="Provider=Microsoft.Mashup.OleDb.1;Data Source=$Workbook$;Location=&quot;Clienst x Cégorie bien de conso&quot;;Extended Properties=&quot;&quot;" command="SELECT * FROM [Clienst x Cégorie bien de conso]"/>
  </connection>
  <connection id="3" xr16:uid="{7708CA00-E575-481D-B1E0-707EAB8E7335}" keepAlive="1" name="Requête - Clienst x Cégorie bien de conso (2)" description="Connexion à la requête « Clienst x Cégorie bien de conso (2) » dans le classeur." type="5" refreshedVersion="8" background="1" saveData="1">
    <dbPr connection="Provider=Microsoft.Mashup.OleDb.1;Data Source=$Workbook$;Location=&quot;Clienst x Cégorie bien de conso (2)&quot;;Extended Properties=&quot;&quot;" command="SELECT * FROM [Clienst x Cégorie bien de conso (2)]"/>
  </connection>
  <connection id="4" xr16:uid="{2F33BD70-F9CA-4338-A39F-961A5D591DA4}" keepAlive="1" name="Requête - Clienst x Cégorie nourriture" description="Connexion à la requête « Clienst x Cégorie nourriture » dans le classeur." type="5" refreshedVersion="8" background="1" saveData="1">
    <dbPr connection="Provider=Microsoft.Mashup.OleDb.1;Data Source=$Workbook$;Location=&quot;Clienst x Cégorie nourriture&quot;;Extended Properties=&quot;&quot;" command="SELECT * FROM [Clienst x Cégorie nourriture]"/>
  </connection>
  <connection id="5" xr16:uid="{3BF3DFD9-8343-4B85-945D-DB9A79C210C5}" keepAlive="1" name="Requête - temps&lt;4" description="Connexion à la requête « temps&lt;4 » dans le classeur." type="5" refreshedVersion="8" background="1" saveData="1">
    <dbPr connection="Provider=Microsoft.Mashup.OleDb.1;Data Source=$Workbook$;Location=temps&lt;4;Extended Properties=&quot;&quot;" command="SELECT * FROM [temps&lt;4]"/>
  </connection>
  <connection id="6" xr16:uid="{00F275B1-0D02-4D06-A85A-F0835576DEB8}" keepAlive="1" name="Requête - temps&gt;9,3" description="Connexion à la requête « temps&gt;9,3 » dans le classeur." type="5" refreshedVersion="8" background="1" saveData="1">
    <dbPr connection="Provider=Microsoft.Mashup.OleDb.1;Data Source=$Workbook$;Location=temps&gt;9,3;Extended Properties=&quot;&quot;" command="SELECT * FROM [temps&gt;9,3]"/>
  </connection>
</connections>
</file>

<file path=xl/sharedStrings.xml><?xml version="1.0" encoding="utf-8"?>
<sst xmlns="http://schemas.openxmlformats.org/spreadsheetml/2006/main" count="2061" uniqueCount="33">
  <si>
    <t>Analyse des ventes mensuelles des clients affiliés</t>
  </si>
  <si>
    <t>CATEGORIE</t>
  </si>
  <si>
    <t>SEPT</t>
  </si>
  <si>
    <t>OCT</t>
  </si>
  <si>
    <t>NOV</t>
  </si>
  <si>
    <t>DEC</t>
  </si>
  <si>
    <t>JAN</t>
  </si>
  <si>
    <t>FEV</t>
  </si>
  <si>
    <t xml:space="preserve">TOTAL  </t>
  </si>
  <si>
    <t>biens de conso.</t>
  </si>
  <si>
    <t>nourriture</t>
  </si>
  <si>
    <t>high tech</t>
  </si>
  <si>
    <t>TOTAL</t>
  </si>
  <si>
    <t>TEMPS D'ACHAT</t>
  </si>
  <si>
    <t>NB TRANSACTIONS</t>
  </si>
  <si>
    <t>CA TOTAL</t>
  </si>
  <si>
    <t>Inférieur à 4 min.</t>
  </si>
  <si>
    <t>Supérieur à 9 min 30</t>
  </si>
  <si>
    <t>ID client</t>
  </si>
  <si>
    <t>Temps d'achat</t>
  </si>
  <si>
    <t>Montant</t>
  </si>
  <si>
    <t>Categorie</t>
  </si>
  <si>
    <t>bien de conso.</t>
  </si>
  <si>
    <t>temps d'achats &gt;9.3</t>
  </si>
  <si>
    <t>temps d'achat&lt;4</t>
  </si>
  <si>
    <t>nb &gt;9,3</t>
  </si>
  <si>
    <t>nb &lt;4</t>
  </si>
  <si>
    <t>CA nourriture</t>
  </si>
  <si>
    <t>Nb achat client</t>
  </si>
  <si>
    <t>CA Bien Conso</t>
  </si>
  <si>
    <t>CA tot client</t>
  </si>
  <si>
    <t>CA Nourriture</t>
  </si>
  <si>
    <t>CA bien conso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</si>
</sst>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_-* #,##0.00\ &quot;€&quot;_-;\-* #,##0.00\ &quot;€&quot;_-;_-* &quot;-&quot;??\ &quot;€&quot;_-;_-@"/>
  </numFmts>
  <fonts count="11" x14ac:knownFonts="1">
    <font>
      <sz val="11"/>
      <color theme="1"/>
      <name val="Calibri"/>
      <family val="2"/>
      <scheme val="minor"/>
    </font>
    <font>
      <b/>
      <i/>
      <sz val="26"/>
      <color theme="1"/>
      <name val="Calibri"/>
    </font>
    <font>
      <sz val="11"/>
      <color theme="1"/>
      <name val="Calibri"/>
    </font>
    <font>
      <b/>
      <sz val="14"/>
      <color theme="0"/>
      <name val="Calibri"/>
    </font>
    <font>
      <b/>
      <sz val="12"/>
      <color rgb="FFFFFFFF"/>
      <name val="Calibri"/>
    </font>
    <font>
      <b/>
      <sz val="12"/>
      <color theme="0"/>
      <name val="Calibri"/>
    </font>
    <font>
      <sz val="11"/>
      <name val="Arial"/>
    </font>
    <font>
      <sz val="12"/>
      <color theme="1"/>
      <name val="Calibri"/>
    </font>
    <font>
      <b/>
      <sz val="12"/>
      <color theme="1"/>
      <name val="Calibri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2F5496"/>
        <bgColor rgb="FF2F5496"/>
      </patternFill>
    </fill>
    <fill>
      <patternFill patternType="solid">
        <fgColor rgb="FF1F3864"/>
        <bgColor rgb="FF1F3864"/>
      </patternFill>
    </fill>
    <fill>
      <patternFill patternType="solid">
        <fgColor rgb="FFAEABAB"/>
        <bgColor rgb="FFAEABAB"/>
      </patternFill>
    </fill>
    <fill>
      <patternFill patternType="solid">
        <fgColor rgb="FFD9E2F3"/>
        <bgColor rgb="FFD9E2F3"/>
      </patternFill>
    </fill>
    <fill>
      <patternFill patternType="solid">
        <fgColor rgb="FFE7E6E6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rgb="FFA5A5A5"/>
        <bgColor rgb="FFA5A5A5"/>
      </patternFill>
    </fill>
    <fill>
      <patternFill patternType="solid">
        <fgColor rgb="FFB4C6E7"/>
        <bgColor rgb="FFB4C6E7"/>
      </patternFill>
    </fill>
    <fill>
      <patternFill patternType="solid">
        <fgColor rgb="FFFFFF00"/>
        <bgColor rgb="FFB4C6E7"/>
      </patternFill>
    </fill>
    <fill>
      <patternFill patternType="solid">
        <fgColor rgb="FFFFFF00"/>
        <bgColor rgb="FFD9E2F3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</fills>
  <borders count="3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</cellStyleXfs>
  <cellXfs count="6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vertical="center"/>
    </xf>
    <xf numFmtId="0" fontId="7" fillId="2" borderId="9" xfId="0" applyFont="1" applyFill="1" applyBorder="1" applyAlignment="1">
      <alignment horizontal="center"/>
    </xf>
    <xf numFmtId="164" fontId="7" fillId="5" borderId="10" xfId="0" applyNumberFormat="1" applyFont="1" applyFill="1" applyBorder="1"/>
    <xf numFmtId="164" fontId="7" fillId="5" borderId="11" xfId="0" applyNumberFormat="1" applyFont="1" applyFill="1" applyBorder="1"/>
    <xf numFmtId="164" fontId="7" fillId="5" borderId="12" xfId="0" applyNumberFormat="1" applyFont="1" applyFill="1" applyBorder="1"/>
    <xf numFmtId="0" fontId="7" fillId="2" borderId="14" xfId="0" applyFont="1" applyFill="1" applyBorder="1" applyAlignment="1">
      <alignment horizontal="center"/>
    </xf>
    <xf numFmtId="164" fontId="7" fillId="7" borderId="15" xfId="0" applyNumberFormat="1" applyFont="1" applyFill="1" applyBorder="1"/>
    <xf numFmtId="164" fontId="7" fillId="7" borderId="16" xfId="0" applyNumberFormat="1" applyFont="1" applyFill="1" applyBorder="1"/>
    <xf numFmtId="164" fontId="7" fillId="7" borderId="17" xfId="0" applyNumberFormat="1" applyFont="1" applyFill="1" applyBorder="1"/>
    <xf numFmtId="0" fontId="7" fillId="2" borderId="18" xfId="0" applyFont="1" applyFill="1" applyBorder="1" applyAlignment="1">
      <alignment horizontal="center"/>
    </xf>
    <xf numFmtId="164" fontId="7" fillId="5" borderId="19" xfId="0" applyNumberFormat="1" applyFont="1" applyFill="1" applyBorder="1"/>
    <xf numFmtId="164" fontId="7" fillId="5" borderId="20" xfId="0" applyNumberFormat="1" applyFont="1" applyFill="1" applyBorder="1"/>
    <xf numFmtId="164" fontId="7" fillId="5" borderId="21" xfId="0" applyNumberFormat="1" applyFont="1" applyFill="1" applyBorder="1"/>
    <xf numFmtId="0" fontId="8" fillId="2" borderId="22" xfId="0" applyFont="1" applyFill="1" applyBorder="1" applyAlignment="1">
      <alignment horizontal="center" vertical="center"/>
    </xf>
    <xf numFmtId="164" fontId="7" fillId="5" borderId="22" xfId="0" applyNumberFormat="1" applyFont="1" applyFill="1" applyBorder="1"/>
    <xf numFmtId="164" fontId="7" fillId="5" borderId="23" xfId="0" applyNumberFormat="1" applyFont="1" applyFill="1" applyBorder="1"/>
    <xf numFmtId="164" fontId="7" fillId="5" borderId="24" xfId="0" applyNumberFormat="1" applyFont="1" applyFill="1" applyBorder="1"/>
    <xf numFmtId="0" fontId="5" fillId="3" borderId="25" xfId="0" applyFont="1" applyFill="1" applyBorder="1" applyAlignment="1">
      <alignment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20" fontId="2" fillId="2" borderId="0" xfId="0" applyNumberFormat="1" applyFont="1" applyFill="1"/>
    <xf numFmtId="0" fontId="2" fillId="6" borderId="9" xfId="0" applyFont="1" applyFill="1" applyBorder="1"/>
    <xf numFmtId="0" fontId="2" fillId="7" borderId="27" xfId="0" applyFont="1" applyFill="1" applyBorder="1"/>
    <xf numFmtId="0" fontId="2" fillId="7" borderId="12" xfId="0" applyFont="1" applyFill="1" applyBorder="1"/>
    <xf numFmtId="0" fontId="2" fillId="6" borderId="18" xfId="0" applyFont="1" applyFill="1" applyBorder="1"/>
    <xf numFmtId="0" fontId="2" fillId="7" borderId="28" xfId="0" applyFont="1" applyFill="1" applyBorder="1"/>
    <xf numFmtId="0" fontId="2" fillId="7" borderId="21" xfId="0" applyFont="1" applyFill="1" applyBorder="1"/>
    <xf numFmtId="0" fontId="0" fillId="8" borderId="0" xfId="0" applyFill="1"/>
    <xf numFmtId="0" fontId="2" fillId="9" borderId="0" xfId="0" applyFont="1" applyFill="1"/>
    <xf numFmtId="4" fontId="2" fillId="9" borderId="0" xfId="0" applyNumberFormat="1" applyFont="1" applyFill="1"/>
    <xf numFmtId="2" fontId="2" fillId="9" borderId="0" xfId="0" applyNumberFormat="1" applyFont="1" applyFill="1"/>
    <xf numFmtId="0" fontId="2" fillId="10" borderId="0" xfId="0" applyFont="1" applyFill="1" applyAlignment="1">
      <alignment horizontal="right"/>
    </xf>
    <xf numFmtId="4" fontId="2" fillId="10" borderId="0" xfId="0" applyNumberFormat="1" applyFont="1" applyFill="1" applyAlignment="1">
      <alignment horizontal="right"/>
    </xf>
    <xf numFmtId="164" fontId="2" fillId="10" borderId="0" xfId="0" applyNumberFormat="1" applyFont="1" applyFill="1" applyAlignment="1">
      <alignment horizontal="right"/>
    </xf>
    <xf numFmtId="2" fontId="2" fillId="10" borderId="0" xfId="0" applyNumberFormat="1" applyFont="1" applyFill="1"/>
    <xf numFmtId="0" fontId="2" fillId="6" borderId="0" xfId="0" applyFont="1" applyFill="1" applyAlignment="1">
      <alignment horizontal="right"/>
    </xf>
    <xf numFmtId="4" fontId="2" fillId="6" borderId="0" xfId="0" applyNumberFormat="1" applyFont="1" applyFill="1" applyAlignment="1">
      <alignment horizontal="right"/>
    </xf>
    <xf numFmtId="164" fontId="2" fillId="6" borderId="0" xfId="0" applyNumberFormat="1" applyFont="1" applyFill="1" applyAlignment="1">
      <alignment horizontal="right"/>
    </xf>
    <xf numFmtId="2" fontId="2" fillId="6" borderId="0" xfId="0" applyNumberFormat="1" applyFont="1" applyFill="1"/>
    <xf numFmtId="44" fontId="0" fillId="0" borderId="0" xfId="0" applyNumberFormat="1"/>
    <xf numFmtId="44" fontId="7" fillId="6" borderId="13" xfId="0" applyNumberFormat="1" applyFont="1" applyFill="1" applyBorder="1"/>
    <xf numFmtId="44" fontId="7" fillId="6" borderId="14" xfId="0" applyNumberFormat="1" applyFont="1" applyFill="1" applyBorder="1"/>
    <xf numFmtId="44" fontId="7" fillId="6" borderId="18" xfId="0" applyNumberFormat="1" applyFont="1" applyFill="1" applyBorder="1"/>
    <xf numFmtId="44" fontId="2" fillId="6" borderId="25" xfId="0" applyNumberFormat="1" applyFont="1" applyFill="1" applyBorder="1"/>
    <xf numFmtId="164" fontId="2" fillId="11" borderId="0" xfId="0" applyNumberFormat="1" applyFont="1" applyFill="1" applyAlignment="1">
      <alignment horizontal="right"/>
    </xf>
    <xf numFmtId="164" fontId="2" fillId="12" borderId="0" xfId="0" applyNumberFormat="1" applyFont="1" applyFill="1" applyAlignment="1">
      <alignment horizontal="right"/>
    </xf>
    <xf numFmtId="164" fontId="0" fillId="0" borderId="0" xfId="0" applyNumberFormat="1"/>
    <xf numFmtId="0" fontId="0" fillId="0" borderId="0" xfId="0" applyNumberFormat="1"/>
    <xf numFmtId="0" fontId="0" fillId="13" borderId="29" xfId="0" applyFont="1" applyFill="1" applyBorder="1"/>
    <xf numFmtId="0" fontId="0" fillId="0" borderId="29" xfId="0" applyFont="1" applyBorder="1"/>
    <xf numFmtId="0" fontId="0" fillId="0" borderId="30" xfId="0" applyFont="1" applyBorder="1"/>
    <xf numFmtId="0" fontId="0" fillId="0" borderId="0" xfId="0" applyProtection="1">
      <protection locked="0"/>
    </xf>
    <xf numFmtId="0" fontId="0" fillId="13" borderId="29" xfId="0" applyFont="1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9" fillId="14" borderId="31" xfId="0" applyFont="1" applyFill="1" applyBorder="1" applyProtection="1">
      <protection locked="0"/>
    </xf>
    <xf numFmtId="0" fontId="9" fillId="14" borderId="31" xfId="0" applyFont="1" applyFill="1" applyBorder="1"/>
    <xf numFmtId="0" fontId="10" fillId="15" borderId="0" xfId="1"/>
    <xf numFmtId="0" fontId="10" fillId="16" borderId="0" xfId="2"/>
    <xf numFmtId="0" fontId="3" fillId="3" borderId="1" xfId="0" applyFont="1" applyFill="1" applyBorder="1" applyAlignment="1">
      <alignment horizontal="left" vertical="top"/>
    </xf>
    <xf numFmtId="0" fontId="6" fillId="0" borderId="5" xfId="0" applyFont="1" applyBorder="1"/>
  </cellXfs>
  <cellStyles count="3">
    <cellStyle name="20 % - Accent1" xfId="1" builtinId="30"/>
    <cellStyle name="40 % - Accent1" xfId="2" builtinId="31"/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0" hidden="0"/>
    </dxf>
    <dxf>
      <numFmt numFmtId="0" formatCode="General"/>
    </dxf>
    <dxf>
      <numFmt numFmtId="0" formatCode="General"/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6"/>
          <bgColor theme="6"/>
        </patternFill>
      </fill>
    </dxf>
  </dxfs>
  <tableStyles count="1" defaultTableStyle="TableStyleMedium2" defaultPivotStyle="PivotStyleLight16">
    <tableStyle name="DATA-style" pivot="0" count="3" xr9:uid="{3790D291-908A-4FCE-BFBC-334E6EF12E1D}">
      <tableStyleElement type="headerRow" dxfId="17"/>
      <tableStyleElement type="firstRowStripe" dxfId="16"/>
      <tableStyleElement type="secondRowStripe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Montant panier selon</a:t>
            </a:r>
            <a:r>
              <a:rPr lang="en-US" baseline="0"/>
              <a:t> le temps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'montant x temps '!$C$1</c:f>
              <c:strCache>
                <c:ptCount val="1"/>
                <c:pt idx="0">
                  <c:v>Montant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'montant x temps '!$B$2:$B$661</c:f>
              <c:numCache>
                <c:formatCode>General</c:formatCode>
                <c:ptCount val="660"/>
                <c:pt idx="0">
                  <c:v>5.22</c:v>
                </c:pt>
                <c:pt idx="1">
                  <c:v>6.17</c:v>
                </c:pt>
                <c:pt idx="2">
                  <c:v>5.36</c:v>
                </c:pt>
                <c:pt idx="3">
                  <c:v>5.46</c:v>
                </c:pt>
                <c:pt idx="4">
                  <c:v>9.77</c:v>
                </c:pt>
                <c:pt idx="5">
                  <c:v>6.96</c:v>
                </c:pt>
                <c:pt idx="6">
                  <c:v>5.64</c:v>
                </c:pt>
                <c:pt idx="7">
                  <c:v>4.5599999999999996</c:v>
                </c:pt>
                <c:pt idx="8">
                  <c:v>5.2</c:v>
                </c:pt>
                <c:pt idx="9">
                  <c:v>6.28</c:v>
                </c:pt>
                <c:pt idx="10">
                  <c:v>6.06</c:v>
                </c:pt>
                <c:pt idx="11">
                  <c:v>6.57</c:v>
                </c:pt>
                <c:pt idx="12">
                  <c:v>4.24</c:v>
                </c:pt>
                <c:pt idx="13">
                  <c:v>8.7100000000000009</c:v>
                </c:pt>
                <c:pt idx="14">
                  <c:v>6.22</c:v>
                </c:pt>
                <c:pt idx="15">
                  <c:v>5.47</c:v>
                </c:pt>
                <c:pt idx="16">
                  <c:v>9.98</c:v>
                </c:pt>
                <c:pt idx="17">
                  <c:v>5.39</c:v>
                </c:pt>
                <c:pt idx="18">
                  <c:v>9.9499999999999993</c:v>
                </c:pt>
                <c:pt idx="19">
                  <c:v>9.23</c:v>
                </c:pt>
                <c:pt idx="20">
                  <c:v>8.39</c:v>
                </c:pt>
                <c:pt idx="21">
                  <c:v>5.41</c:v>
                </c:pt>
                <c:pt idx="22">
                  <c:v>7.45</c:v>
                </c:pt>
                <c:pt idx="23">
                  <c:v>5.03</c:v>
                </c:pt>
                <c:pt idx="24">
                  <c:v>5.15</c:v>
                </c:pt>
                <c:pt idx="25">
                  <c:v>6.43</c:v>
                </c:pt>
                <c:pt idx="26">
                  <c:v>8.93</c:v>
                </c:pt>
                <c:pt idx="27">
                  <c:v>8.44</c:v>
                </c:pt>
                <c:pt idx="28">
                  <c:v>8.92</c:v>
                </c:pt>
                <c:pt idx="29">
                  <c:v>5.47</c:v>
                </c:pt>
                <c:pt idx="30">
                  <c:v>7.28</c:v>
                </c:pt>
                <c:pt idx="31">
                  <c:v>4.84</c:v>
                </c:pt>
                <c:pt idx="32">
                  <c:v>7.6</c:v>
                </c:pt>
                <c:pt idx="33">
                  <c:v>9.07</c:v>
                </c:pt>
                <c:pt idx="34">
                  <c:v>9.91</c:v>
                </c:pt>
                <c:pt idx="35">
                  <c:v>6.38</c:v>
                </c:pt>
                <c:pt idx="36">
                  <c:v>5.63</c:v>
                </c:pt>
                <c:pt idx="37">
                  <c:v>8.7200000000000006</c:v>
                </c:pt>
                <c:pt idx="38">
                  <c:v>4.55</c:v>
                </c:pt>
                <c:pt idx="39">
                  <c:v>6.55</c:v>
                </c:pt>
                <c:pt idx="40">
                  <c:v>4.1500000000000004</c:v>
                </c:pt>
                <c:pt idx="41">
                  <c:v>6.41</c:v>
                </c:pt>
                <c:pt idx="42">
                  <c:v>7.52</c:v>
                </c:pt>
                <c:pt idx="43">
                  <c:v>5.91</c:v>
                </c:pt>
                <c:pt idx="44">
                  <c:v>8.31</c:v>
                </c:pt>
                <c:pt idx="45">
                  <c:v>9.59</c:v>
                </c:pt>
                <c:pt idx="46">
                  <c:v>4.88</c:v>
                </c:pt>
                <c:pt idx="47">
                  <c:v>7.21</c:v>
                </c:pt>
                <c:pt idx="48">
                  <c:v>9.93</c:v>
                </c:pt>
                <c:pt idx="49">
                  <c:v>9.6</c:v>
                </c:pt>
                <c:pt idx="50">
                  <c:v>9.02</c:v>
                </c:pt>
                <c:pt idx="51">
                  <c:v>5.34</c:v>
                </c:pt>
                <c:pt idx="52">
                  <c:v>9.49</c:v>
                </c:pt>
                <c:pt idx="53">
                  <c:v>7.98</c:v>
                </c:pt>
                <c:pt idx="54">
                  <c:v>7.33</c:v>
                </c:pt>
                <c:pt idx="55">
                  <c:v>7.59</c:v>
                </c:pt>
                <c:pt idx="56">
                  <c:v>6.82</c:v>
                </c:pt>
                <c:pt idx="57">
                  <c:v>4.17</c:v>
                </c:pt>
                <c:pt idx="58">
                  <c:v>4.4800000000000004</c:v>
                </c:pt>
                <c:pt idx="59">
                  <c:v>9.1999999999999993</c:v>
                </c:pt>
                <c:pt idx="60">
                  <c:v>8.14</c:v>
                </c:pt>
                <c:pt idx="61">
                  <c:v>6.76</c:v>
                </c:pt>
                <c:pt idx="62">
                  <c:v>4.59</c:v>
                </c:pt>
                <c:pt idx="63">
                  <c:v>8.8000000000000007</c:v>
                </c:pt>
                <c:pt idx="64">
                  <c:v>6.59</c:v>
                </c:pt>
                <c:pt idx="65">
                  <c:v>4.57</c:v>
                </c:pt>
                <c:pt idx="66">
                  <c:v>6.97</c:v>
                </c:pt>
                <c:pt idx="67">
                  <c:v>6.82</c:v>
                </c:pt>
                <c:pt idx="68">
                  <c:v>5.56</c:v>
                </c:pt>
                <c:pt idx="69">
                  <c:v>5.29</c:v>
                </c:pt>
                <c:pt idx="70">
                  <c:v>6.64</c:v>
                </c:pt>
                <c:pt idx="71">
                  <c:v>7.75</c:v>
                </c:pt>
                <c:pt idx="72">
                  <c:v>6.99</c:v>
                </c:pt>
                <c:pt idx="73">
                  <c:v>7.31</c:v>
                </c:pt>
                <c:pt idx="74">
                  <c:v>8.6</c:v>
                </c:pt>
                <c:pt idx="75">
                  <c:v>4.93</c:v>
                </c:pt>
                <c:pt idx="76">
                  <c:v>4.05</c:v>
                </c:pt>
                <c:pt idx="77">
                  <c:v>9.0500000000000007</c:v>
                </c:pt>
                <c:pt idx="78">
                  <c:v>5.77</c:v>
                </c:pt>
                <c:pt idx="79">
                  <c:v>7.37</c:v>
                </c:pt>
                <c:pt idx="80">
                  <c:v>6.34</c:v>
                </c:pt>
                <c:pt idx="81">
                  <c:v>5.14</c:v>
                </c:pt>
                <c:pt idx="82">
                  <c:v>5.43</c:v>
                </c:pt>
                <c:pt idx="83">
                  <c:v>8.98</c:v>
                </c:pt>
                <c:pt idx="84">
                  <c:v>8.9600000000000009</c:v>
                </c:pt>
                <c:pt idx="85">
                  <c:v>7.34</c:v>
                </c:pt>
                <c:pt idx="86">
                  <c:v>6.81</c:v>
                </c:pt>
                <c:pt idx="87">
                  <c:v>7.9</c:v>
                </c:pt>
                <c:pt idx="88">
                  <c:v>6.69</c:v>
                </c:pt>
                <c:pt idx="89">
                  <c:v>7.21</c:v>
                </c:pt>
                <c:pt idx="90">
                  <c:v>9.15</c:v>
                </c:pt>
                <c:pt idx="91">
                  <c:v>4.17</c:v>
                </c:pt>
                <c:pt idx="92">
                  <c:v>7.37</c:v>
                </c:pt>
                <c:pt idx="93">
                  <c:v>7.52</c:v>
                </c:pt>
                <c:pt idx="94">
                  <c:v>4.66</c:v>
                </c:pt>
                <c:pt idx="95">
                  <c:v>8.64</c:v>
                </c:pt>
                <c:pt idx="96">
                  <c:v>7.31</c:v>
                </c:pt>
                <c:pt idx="97">
                  <c:v>5.38</c:v>
                </c:pt>
                <c:pt idx="98">
                  <c:v>8.1</c:v>
                </c:pt>
                <c:pt idx="99">
                  <c:v>6.06</c:v>
                </c:pt>
                <c:pt idx="100">
                  <c:v>9.8699999999999992</c:v>
                </c:pt>
                <c:pt idx="101">
                  <c:v>4.7</c:v>
                </c:pt>
                <c:pt idx="102">
                  <c:v>5.87</c:v>
                </c:pt>
                <c:pt idx="103">
                  <c:v>4.84</c:v>
                </c:pt>
                <c:pt idx="104">
                  <c:v>8.6300000000000008</c:v>
                </c:pt>
                <c:pt idx="105">
                  <c:v>9.94</c:v>
                </c:pt>
                <c:pt idx="106">
                  <c:v>9.99</c:v>
                </c:pt>
                <c:pt idx="107">
                  <c:v>5.45</c:v>
                </c:pt>
                <c:pt idx="108">
                  <c:v>8.7200000000000006</c:v>
                </c:pt>
                <c:pt idx="109">
                  <c:v>4.6399999999999997</c:v>
                </c:pt>
                <c:pt idx="110">
                  <c:v>5.66</c:v>
                </c:pt>
                <c:pt idx="111">
                  <c:v>9.0299999999999994</c:v>
                </c:pt>
                <c:pt idx="112">
                  <c:v>5.93</c:v>
                </c:pt>
                <c:pt idx="113">
                  <c:v>9.0299999999999994</c:v>
                </c:pt>
                <c:pt idx="114">
                  <c:v>9.58</c:v>
                </c:pt>
                <c:pt idx="115">
                  <c:v>6.96</c:v>
                </c:pt>
                <c:pt idx="116">
                  <c:v>8.49</c:v>
                </c:pt>
                <c:pt idx="117">
                  <c:v>7.11</c:v>
                </c:pt>
                <c:pt idx="118">
                  <c:v>5.67</c:v>
                </c:pt>
                <c:pt idx="119">
                  <c:v>4.34</c:v>
                </c:pt>
                <c:pt idx="120">
                  <c:v>6.72</c:v>
                </c:pt>
                <c:pt idx="121">
                  <c:v>9.18</c:v>
                </c:pt>
                <c:pt idx="122">
                  <c:v>4.32</c:v>
                </c:pt>
                <c:pt idx="123">
                  <c:v>4.28</c:v>
                </c:pt>
                <c:pt idx="124">
                  <c:v>5.0999999999999996</c:v>
                </c:pt>
                <c:pt idx="125">
                  <c:v>6.23</c:v>
                </c:pt>
                <c:pt idx="126">
                  <c:v>6.45</c:v>
                </c:pt>
                <c:pt idx="127">
                  <c:v>9.73</c:v>
                </c:pt>
                <c:pt idx="128">
                  <c:v>9.2799999999999994</c:v>
                </c:pt>
                <c:pt idx="129">
                  <c:v>6.76</c:v>
                </c:pt>
                <c:pt idx="130">
                  <c:v>6.16</c:v>
                </c:pt>
                <c:pt idx="131">
                  <c:v>8.2200000000000006</c:v>
                </c:pt>
                <c:pt idx="132">
                  <c:v>6.16</c:v>
                </c:pt>
                <c:pt idx="133">
                  <c:v>7.22</c:v>
                </c:pt>
                <c:pt idx="134">
                  <c:v>8.6</c:v>
                </c:pt>
                <c:pt idx="135">
                  <c:v>7.95</c:v>
                </c:pt>
                <c:pt idx="136">
                  <c:v>4.4400000000000004</c:v>
                </c:pt>
                <c:pt idx="137">
                  <c:v>9.75</c:v>
                </c:pt>
                <c:pt idx="138">
                  <c:v>9.07</c:v>
                </c:pt>
                <c:pt idx="139">
                  <c:v>4.93</c:v>
                </c:pt>
                <c:pt idx="140">
                  <c:v>4.76</c:v>
                </c:pt>
                <c:pt idx="141">
                  <c:v>5.96</c:v>
                </c:pt>
                <c:pt idx="142">
                  <c:v>4.54</c:v>
                </c:pt>
                <c:pt idx="143">
                  <c:v>6.12</c:v>
                </c:pt>
                <c:pt idx="144">
                  <c:v>5.35</c:v>
                </c:pt>
                <c:pt idx="145">
                  <c:v>8.39</c:v>
                </c:pt>
                <c:pt idx="146">
                  <c:v>9.35</c:v>
                </c:pt>
                <c:pt idx="147">
                  <c:v>5.0599999999999996</c:v>
                </c:pt>
                <c:pt idx="148">
                  <c:v>7.18</c:v>
                </c:pt>
                <c:pt idx="149">
                  <c:v>7.22</c:v>
                </c:pt>
                <c:pt idx="150">
                  <c:v>9.27</c:v>
                </c:pt>
                <c:pt idx="151">
                  <c:v>9.9600000000000009</c:v>
                </c:pt>
                <c:pt idx="152">
                  <c:v>4.68</c:v>
                </c:pt>
                <c:pt idx="153">
                  <c:v>5.15</c:v>
                </c:pt>
                <c:pt idx="154">
                  <c:v>9.65</c:v>
                </c:pt>
                <c:pt idx="155">
                  <c:v>8.61</c:v>
                </c:pt>
                <c:pt idx="156">
                  <c:v>6.21</c:v>
                </c:pt>
                <c:pt idx="157">
                  <c:v>8.3800000000000008</c:v>
                </c:pt>
                <c:pt idx="158">
                  <c:v>6.86</c:v>
                </c:pt>
                <c:pt idx="159">
                  <c:v>7.7</c:v>
                </c:pt>
                <c:pt idx="160">
                  <c:v>8.02</c:v>
                </c:pt>
                <c:pt idx="161">
                  <c:v>9.2100000000000009</c:v>
                </c:pt>
                <c:pt idx="162">
                  <c:v>8.24</c:v>
                </c:pt>
                <c:pt idx="163">
                  <c:v>6.63</c:v>
                </c:pt>
                <c:pt idx="164">
                  <c:v>8.2899999999999991</c:v>
                </c:pt>
                <c:pt idx="165">
                  <c:v>8.65</c:v>
                </c:pt>
                <c:pt idx="166">
                  <c:v>9.2100000000000009</c:v>
                </c:pt>
                <c:pt idx="167">
                  <c:v>9.0500000000000007</c:v>
                </c:pt>
                <c:pt idx="168">
                  <c:v>7.71</c:v>
                </c:pt>
                <c:pt idx="169">
                  <c:v>8.75</c:v>
                </c:pt>
                <c:pt idx="170">
                  <c:v>7.97</c:v>
                </c:pt>
                <c:pt idx="171">
                  <c:v>7.59</c:v>
                </c:pt>
                <c:pt idx="172">
                  <c:v>8.18</c:v>
                </c:pt>
                <c:pt idx="173">
                  <c:v>9.25</c:v>
                </c:pt>
                <c:pt idx="174">
                  <c:v>4.54</c:v>
                </c:pt>
                <c:pt idx="175">
                  <c:v>4.68</c:v>
                </c:pt>
                <c:pt idx="176">
                  <c:v>8.39</c:v>
                </c:pt>
                <c:pt idx="177">
                  <c:v>4.03</c:v>
                </c:pt>
                <c:pt idx="178">
                  <c:v>9.9600000000000009</c:v>
                </c:pt>
                <c:pt idx="179">
                  <c:v>4.1500000000000004</c:v>
                </c:pt>
                <c:pt idx="180">
                  <c:v>7.58</c:v>
                </c:pt>
                <c:pt idx="181">
                  <c:v>7.54</c:v>
                </c:pt>
                <c:pt idx="182">
                  <c:v>5.25</c:v>
                </c:pt>
                <c:pt idx="183">
                  <c:v>7.21</c:v>
                </c:pt>
                <c:pt idx="184">
                  <c:v>9.42</c:v>
                </c:pt>
                <c:pt idx="185">
                  <c:v>6.68</c:v>
                </c:pt>
                <c:pt idx="186">
                  <c:v>5.78</c:v>
                </c:pt>
                <c:pt idx="187">
                  <c:v>5.23</c:v>
                </c:pt>
                <c:pt idx="188">
                  <c:v>4.38</c:v>
                </c:pt>
                <c:pt idx="189">
                  <c:v>9.01</c:v>
                </c:pt>
                <c:pt idx="190">
                  <c:v>5.12</c:v>
                </c:pt>
                <c:pt idx="191">
                  <c:v>4.18</c:v>
                </c:pt>
                <c:pt idx="192">
                  <c:v>6.36</c:v>
                </c:pt>
                <c:pt idx="193">
                  <c:v>4.08</c:v>
                </c:pt>
                <c:pt idx="194">
                  <c:v>8.5399999999999991</c:v>
                </c:pt>
                <c:pt idx="195">
                  <c:v>5.38</c:v>
                </c:pt>
                <c:pt idx="196">
                  <c:v>5.5</c:v>
                </c:pt>
                <c:pt idx="197">
                  <c:v>5.03</c:v>
                </c:pt>
                <c:pt idx="198">
                  <c:v>4.6900000000000004</c:v>
                </c:pt>
                <c:pt idx="199">
                  <c:v>4.34</c:v>
                </c:pt>
                <c:pt idx="200">
                  <c:v>8.93</c:v>
                </c:pt>
                <c:pt idx="201">
                  <c:v>7.91</c:v>
                </c:pt>
                <c:pt idx="202">
                  <c:v>4.67</c:v>
                </c:pt>
                <c:pt idx="203">
                  <c:v>9.91</c:v>
                </c:pt>
                <c:pt idx="204">
                  <c:v>6.33</c:v>
                </c:pt>
                <c:pt idx="205">
                  <c:v>9.67</c:v>
                </c:pt>
                <c:pt idx="206">
                  <c:v>5.36</c:v>
                </c:pt>
                <c:pt idx="207">
                  <c:v>4.13</c:v>
                </c:pt>
                <c:pt idx="208">
                  <c:v>7.36</c:v>
                </c:pt>
                <c:pt idx="209">
                  <c:v>6.44</c:v>
                </c:pt>
                <c:pt idx="210">
                  <c:v>4.1399999999999997</c:v>
                </c:pt>
                <c:pt idx="211">
                  <c:v>6.63</c:v>
                </c:pt>
                <c:pt idx="212">
                  <c:v>7.68</c:v>
                </c:pt>
                <c:pt idx="213">
                  <c:v>8.4700000000000006</c:v>
                </c:pt>
                <c:pt idx="214">
                  <c:v>4.5199999999999996</c:v>
                </c:pt>
                <c:pt idx="215">
                  <c:v>8.39</c:v>
                </c:pt>
                <c:pt idx="216">
                  <c:v>8.86</c:v>
                </c:pt>
                <c:pt idx="217">
                  <c:v>9.4600000000000009</c:v>
                </c:pt>
                <c:pt idx="218">
                  <c:v>6.5</c:v>
                </c:pt>
                <c:pt idx="219">
                  <c:v>6.63</c:v>
                </c:pt>
                <c:pt idx="220">
                  <c:v>9.19</c:v>
                </c:pt>
                <c:pt idx="221">
                  <c:v>4.1500000000000004</c:v>
                </c:pt>
                <c:pt idx="222">
                  <c:v>6.09</c:v>
                </c:pt>
                <c:pt idx="223">
                  <c:v>7.41</c:v>
                </c:pt>
                <c:pt idx="224">
                  <c:v>5.47</c:v>
                </c:pt>
                <c:pt idx="225">
                  <c:v>4.6500000000000004</c:v>
                </c:pt>
                <c:pt idx="226">
                  <c:v>7.69</c:v>
                </c:pt>
                <c:pt idx="227">
                  <c:v>4.75</c:v>
                </c:pt>
                <c:pt idx="228">
                  <c:v>8.68</c:v>
                </c:pt>
                <c:pt idx="229">
                  <c:v>7.6</c:v>
                </c:pt>
                <c:pt idx="230">
                  <c:v>9.2200000000000006</c:v>
                </c:pt>
                <c:pt idx="231">
                  <c:v>5.46</c:v>
                </c:pt>
                <c:pt idx="232">
                  <c:v>4.3</c:v>
                </c:pt>
                <c:pt idx="233">
                  <c:v>4.4400000000000004</c:v>
                </c:pt>
                <c:pt idx="234">
                  <c:v>4.68</c:v>
                </c:pt>
                <c:pt idx="235">
                  <c:v>8.5500000000000007</c:v>
                </c:pt>
                <c:pt idx="236">
                  <c:v>4.3</c:v>
                </c:pt>
                <c:pt idx="237">
                  <c:v>7.06</c:v>
                </c:pt>
                <c:pt idx="238">
                  <c:v>8.65</c:v>
                </c:pt>
                <c:pt idx="239">
                  <c:v>7.38</c:v>
                </c:pt>
                <c:pt idx="240">
                  <c:v>8.1199999999999992</c:v>
                </c:pt>
                <c:pt idx="241">
                  <c:v>5.7</c:v>
                </c:pt>
                <c:pt idx="242">
                  <c:v>9.99</c:v>
                </c:pt>
                <c:pt idx="243">
                  <c:v>5.34</c:v>
                </c:pt>
                <c:pt idx="244">
                  <c:v>8.2200000000000006</c:v>
                </c:pt>
                <c:pt idx="245">
                  <c:v>4.78</c:v>
                </c:pt>
                <c:pt idx="246">
                  <c:v>7.05</c:v>
                </c:pt>
                <c:pt idx="247">
                  <c:v>4.83</c:v>
                </c:pt>
                <c:pt idx="248">
                  <c:v>7.66</c:v>
                </c:pt>
                <c:pt idx="249">
                  <c:v>7.88</c:v>
                </c:pt>
                <c:pt idx="250">
                  <c:v>5.58</c:v>
                </c:pt>
                <c:pt idx="251">
                  <c:v>4.32</c:v>
                </c:pt>
                <c:pt idx="252">
                  <c:v>5.2</c:v>
                </c:pt>
                <c:pt idx="253">
                  <c:v>4.04</c:v>
                </c:pt>
                <c:pt idx="254">
                  <c:v>4.7699999999999996</c:v>
                </c:pt>
                <c:pt idx="255">
                  <c:v>8.34</c:v>
                </c:pt>
                <c:pt idx="256">
                  <c:v>9.3800000000000008</c:v>
                </c:pt>
                <c:pt idx="257">
                  <c:v>9.66</c:v>
                </c:pt>
                <c:pt idx="258">
                  <c:v>4</c:v>
                </c:pt>
                <c:pt idx="259">
                  <c:v>7.31</c:v>
                </c:pt>
                <c:pt idx="260">
                  <c:v>7.45</c:v>
                </c:pt>
                <c:pt idx="261">
                  <c:v>9.66</c:v>
                </c:pt>
                <c:pt idx="262">
                  <c:v>9.24</c:v>
                </c:pt>
                <c:pt idx="263">
                  <c:v>4.5</c:v>
                </c:pt>
                <c:pt idx="264">
                  <c:v>7.3</c:v>
                </c:pt>
                <c:pt idx="265">
                  <c:v>5.44</c:v>
                </c:pt>
                <c:pt idx="266">
                  <c:v>8.1199999999999992</c:v>
                </c:pt>
                <c:pt idx="267">
                  <c:v>9.7799999999999994</c:v>
                </c:pt>
                <c:pt idx="268">
                  <c:v>6.15</c:v>
                </c:pt>
                <c:pt idx="269">
                  <c:v>7.33</c:v>
                </c:pt>
                <c:pt idx="270">
                  <c:v>5.59</c:v>
                </c:pt>
                <c:pt idx="271">
                  <c:v>5.0999999999999996</c:v>
                </c:pt>
                <c:pt idx="272">
                  <c:v>7.73</c:v>
                </c:pt>
                <c:pt idx="273">
                  <c:v>9.74</c:v>
                </c:pt>
                <c:pt idx="274">
                  <c:v>7.33</c:v>
                </c:pt>
                <c:pt idx="275">
                  <c:v>9.8800000000000008</c:v>
                </c:pt>
                <c:pt idx="276">
                  <c:v>8.17</c:v>
                </c:pt>
                <c:pt idx="277">
                  <c:v>6.71</c:v>
                </c:pt>
                <c:pt idx="278">
                  <c:v>6.85</c:v>
                </c:pt>
                <c:pt idx="279">
                  <c:v>5.61</c:v>
                </c:pt>
                <c:pt idx="280">
                  <c:v>8.6199999999999992</c:v>
                </c:pt>
                <c:pt idx="281">
                  <c:v>6.73</c:v>
                </c:pt>
                <c:pt idx="282">
                  <c:v>8.27</c:v>
                </c:pt>
                <c:pt idx="283">
                  <c:v>7</c:v>
                </c:pt>
                <c:pt idx="284">
                  <c:v>6.69</c:v>
                </c:pt>
                <c:pt idx="285">
                  <c:v>7.76</c:v>
                </c:pt>
                <c:pt idx="286">
                  <c:v>8.0500000000000007</c:v>
                </c:pt>
                <c:pt idx="287">
                  <c:v>6.81</c:v>
                </c:pt>
                <c:pt idx="288">
                  <c:v>9.31</c:v>
                </c:pt>
                <c:pt idx="289">
                  <c:v>4.1100000000000003</c:v>
                </c:pt>
                <c:pt idx="290">
                  <c:v>7.57</c:v>
                </c:pt>
                <c:pt idx="291">
                  <c:v>8.44</c:v>
                </c:pt>
                <c:pt idx="292">
                  <c:v>7.69</c:v>
                </c:pt>
                <c:pt idx="293">
                  <c:v>5.88</c:v>
                </c:pt>
                <c:pt idx="294">
                  <c:v>7.55</c:v>
                </c:pt>
                <c:pt idx="295">
                  <c:v>5.61</c:v>
                </c:pt>
                <c:pt idx="296">
                  <c:v>5.3</c:v>
                </c:pt>
                <c:pt idx="297">
                  <c:v>8.94</c:v>
                </c:pt>
                <c:pt idx="298">
                  <c:v>4.1399999999999997</c:v>
                </c:pt>
                <c:pt idx="299">
                  <c:v>6.68</c:v>
                </c:pt>
                <c:pt idx="300">
                  <c:v>8.08</c:v>
                </c:pt>
                <c:pt idx="301">
                  <c:v>6.33</c:v>
                </c:pt>
                <c:pt idx="302">
                  <c:v>9.99</c:v>
                </c:pt>
                <c:pt idx="303">
                  <c:v>5.83</c:v>
                </c:pt>
                <c:pt idx="304">
                  <c:v>8.5399999999999991</c:v>
                </c:pt>
                <c:pt idx="305">
                  <c:v>7.18</c:v>
                </c:pt>
                <c:pt idx="306">
                  <c:v>8.8000000000000007</c:v>
                </c:pt>
                <c:pt idx="307">
                  <c:v>9.33</c:v>
                </c:pt>
                <c:pt idx="308">
                  <c:v>8.98</c:v>
                </c:pt>
                <c:pt idx="309">
                  <c:v>6.84</c:v>
                </c:pt>
                <c:pt idx="310">
                  <c:v>7.66</c:v>
                </c:pt>
                <c:pt idx="311">
                  <c:v>7.93</c:v>
                </c:pt>
                <c:pt idx="312">
                  <c:v>4</c:v>
                </c:pt>
                <c:pt idx="313">
                  <c:v>5.97</c:v>
                </c:pt>
                <c:pt idx="314">
                  <c:v>5.45</c:v>
                </c:pt>
                <c:pt idx="315">
                  <c:v>4.78</c:v>
                </c:pt>
                <c:pt idx="316">
                  <c:v>5.53</c:v>
                </c:pt>
                <c:pt idx="317">
                  <c:v>9.17</c:v>
                </c:pt>
                <c:pt idx="318">
                  <c:v>5.05</c:v>
                </c:pt>
                <c:pt idx="319">
                  <c:v>8.6</c:v>
                </c:pt>
                <c:pt idx="320">
                  <c:v>6.41</c:v>
                </c:pt>
                <c:pt idx="321">
                  <c:v>9.25</c:v>
                </c:pt>
                <c:pt idx="322">
                  <c:v>6.78</c:v>
                </c:pt>
                <c:pt idx="323">
                  <c:v>5.42</c:v>
                </c:pt>
                <c:pt idx="324">
                  <c:v>7.37</c:v>
                </c:pt>
                <c:pt idx="325">
                  <c:v>4.96</c:v>
                </c:pt>
                <c:pt idx="326">
                  <c:v>7.27</c:v>
                </c:pt>
                <c:pt idx="327">
                  <c:v>6.31</c:v>
                </c:pt>
                <c:pt idx="328">
                  <c:v>8.91</c:v>
                </c:pt>
                <c:pt idx="329">
                  <c:v>9.8699999999999992</c:v>
                </c:pt>
                <c:pt idx="330">
                  <c:v>4.24</c:v>
                </c:pt>
                <c:pt idx="331">
                  <c:v>4.2</c:v>
                </c:pt>
                <c:pt idx="332">
                  <c:v>5.58</c:v>
                </c:pt>
                <c:pt idx="333">
                  <c:v>5.68</c:v>
                </c:pt>
                <c:pt idx="334">
                  <c:v>9.69</c:v>
                </c:pt>
                <c:pt idx="335">
                  <c:v>8.11</c:v>
                </c:pt>
                <c:pt idx="336">
                  <c:v>5.0999999999999996</c:v>
                </c:pt>
                <c:pt idx="337">
                  <c:v>8.35</c:v>
                </c:pt>
                <c:pt idx="338">
                  <c:v>5.74</c:v>
                </c:pt>
                <c:pt idx="339">
                  <c:v>6.85</c:v>
                </c:pt>
                <c:pt idx="340">
                  <c:v>9.5</c:v>
                </c:pt>
                <c:pt idx="341">
                  <c:v>5.86</c:v>
                </c:pt>
                <c:pt idx="342">
                  <c:v>6.5</c:v>
                </c:pt>
                <c:pt idx="343">
                  <c:v>8.7899999999999991</c:v>
                </c:pt>
                <c:pt idx="344">
                  <c:v>6.71</c:v>
                </c:pt>
                <c:pt idx="345">
                  <c:v>7.27</c:v>
                </c:pt>
                <c:pt idx="346">
                  <c:v>6.91</c:v>
                </c:pt>
                <c:pt idx="347">
                  <c:v>6.94</c:v>
                </c:pt>
                <c:pt idx="348">
                  <c:v>5.24</c:v>
                </c:pt>
                <c:pt idx="349">
                  <c:v>4.4400000000000004</c:v>
                </c:pt>
                <c:pt idx="350">
                  <c:v>7.58</c:v>
                </c:pt>
                <c:pt idx="351">
                  <c:v>9.0399999999999991</c:v>
                </c:pt>
                <c:pt idx="352">
                  <c:v>7.84</c:v>
                </c:pt>
                <c:pt idx="353">
                  <c:v>5.18</c:v>
                </c:pt>
                <c:pt idx="354">
                  <c:v>8.14</c:v>
                </c:pt>
                <c:pt idx="355">
                  <c:v>9.57</c:v>
                </c:pt>
                <c:pt idx="356">
                  <c:v>6.51</c:v>
                </c:pt>
                <c:pt idx="357">
                  <c:v>8.65</c:v>
                </c:pt>
                <c:pt idx="358">
                  <c:v>6.09</c:v>
                </c:pt>
                <c:pt idx="359">
                  <c:v>7.79</c:v>
                </c:pt>
                <c:pt idx="360">
                  <c:v>5.58</c:v>
                </c:pt>
                <c:pt idx="361">
                  <c:v>8.68</c:v>
                </c:pt>
                <c:pt idx="362">
                  <c:v>7.81</c:v>
                </c:pt>
                <c:pt idx="363">
                  <c:v>5.22</c:v>
                </c:pt>
                <c:pt idx="364">
                  <c:v>8.6</c:v>
                </c:pt>
                <c:pt idx="365">
                  <c:v>4.22</c:v>
                </c:pt>
                <c:pt idx="366">
                  <c:v>6.95</c:v>
                </c:pt>
                <c:pt idx="367">
                  <c:v>6.82</c:v>
                </c:pt>
                <c:pt idx="368">
                  <c:v>9.06</c:v>
                </c:pt>
                <c:pt idx="369">
                  <c:v>6.7</c:v>
                </c:pt>
                <c:pt idx="370">
                  <c:v>4.0199999999999996</c:v>
                </c:pt>
                <c:pt idx="371">
                  <c:v>9.5299999999999994</c:v>
                </c:pt>
                <c:pt idx="372">
                  <c:v>6.49</c:v>
                </c:pt>
                <c:pt idx="373">
                  <c:v>8.85</c:v>
                </c:pt>
                <c:pt idx="374">
                  <c:v>6.27</c:v>
                </c:pt>
                <c:pt idx="375">
                  <c:v>6.18</c:v>
                </c:pt>
                <c:pt idx="376">
                  <c:v>8</c:v>
                </c:pt>
                <c:pt idx="377">
                  <c:v>6.96</c:v>
                </c:pt>
                <c:pt idx="378">
                  <c:v>9.56</c:v>
                </c:pt>
                <c:pt idx="379">
                  <c:v>6.06</c:v>
                </c:pt>
                <c:pt idx="380">
                  <c:v>7.7</c:v>
                </c:pt>
                <c:pt idx="381">
                  <c:v>5.05</c:v>
                </c:pt>
                <c:pt idx="382">
                  <c:v>7.38</c:v>
                </c:pt>
                <c:pt idx="383">
                  <c:v>6.23</c:v>
                </c:pt>
                <c:pt idx="384">
                  <c:v>7.19</c:v>
                </c:pt>
                <c:pt idx="385">
                  <c:v>9.3800000000000008</c:v>
                </c:pt>
                <c:pt idx="386">
                  <c:v>7.98</c:v>
                </c:pt>
                <c:pt idx="387">
                  <c:v>6.66</c:v>
                </c:pt>
                <c:pt idx="388">
                  <c:v>6.96</c:v>
                </c:pt>
                <c:pt idx="389">
                  <c:v>7.07</c:v>
                </c:pt>
                <c:pt idx="390">
                  <c:v>8.08</c:v>
                </c:pt>
                <c:pt idx="391">
                  <c:v>6.25</c:v>
                </c:pt>
                <c:pt idx="392">
                  <c:v>5.15</c:v>
                </c:pt>
                <c:pt idx="393">
                  <c:v>8.5500000000000007</c:v>
                </c:pt>
                <c:pt idx="394">
                  <c:v>7.31</c:v>
                </c:pt>
                <c:pt idx="395">
                  <c:v>8.41</c:v>
                </c:pt>
                <c:pt idx="396">
                  <c:v>5.65</c:v>
                </c:pt>
                <c:pt idx="397">
                  <c:v>9.6199999999999992</c:v>
                </c:pt>
                <c:pt idx="398">
                  <c:v>5.94</c:v>
                </c:pt>
                <c:pt idx="399">
                  <c:v>6.22</c:v>
                </c:pt>
                <c:pt idx="400">
                  <c:v>6.99</c:v>
                </c:pt>
                <c:pt idx="401">
                  <c:v>6.05</c:v>
                </c:pt>
                <c:pt idx="402">
                  <c:v>5.31</c:v>
                </c:pt>
                <c:pt idx="403">
                  <c:v>5.61</c:v>
                </c:pt>
                <c:pt idx="404">
                  <c:v>8.83</c:v>
                </c:pt>
                <c:pt idx="405">
                  <c:v>4.57</c:v>
                </c:pt>
                <c:pt idx="406">
                  <c:v>5.99</c:v>
                </c:pt>
                <c:pt idx="407">
                  <c:v>7.67</c:v>
                </c:pt>
                <c:pt idx="408">
                  <c:v>8.2899999999999991</c:v>
                </c:pt>
                <c:pt idx="409">
                  <c:v>9.23</c:v>
                </c:pt>
                <c:pt idx="410">
                  <c:v>5.98</c:v>
                </c:pt>
                <c:pt idx="411">
                  <c:v>5.35</c:v>
                </c:pt>
                <c:pt idx="412">
                  <c:v>9.02</c:v>
                </c:pt>
                <c:pt idx="413">
                  <c:v>7.27</c:v>
                </c:pt>
                <c:pt idx="414">
                  <c:v>9.3000000000000007</c:v>
                </c:pt>
                <c:pt idx="415">
                  <c:v>6.75</c:v>
                </c:pt>
                <c:pt idx="416">
                  <c:v>8.8800000000000008</c:v>
                </c:pt>
                <c:pt idx="417">
                  <c:v>7.25</c:v>
                </c:pt>
                <c:pt idx="418">
                  <c:v>6.8</c:v>
                </c:pt>
                <c:pt idx="419">
                  <c:v>6.65</c:v>
                </c:pt>
                <c:pt idx="420">
                  <c:v>6.93</c:v>
                </c:pt>
                <c:pt idx="421">
                  <c:v>8.74</c:v>
                </c:pt>
                <c:pt idx="422">
                  <c:v>7.9</c:v>
                </c:pt>
                <c:pt idx="423">
                  <c:v>6.73</c:v>
                </c:pt>
                <c:pt idx="424">
                  <c:v>5.79</c:v>
                </c:pt>
                <c:pt idx="425">
                  <c:v>4.99</c:v>
                </c:pt>
                <c:pt idx="426">
                  <c:v>8.52</c:v>
                </c:pt>
                <c:pt idx="427">
                  <c:v>6.65</c:v>
                </c:pt>
                <c:pt idx="428">
                  <c:v>7.12</c:v>
                </c:pt>
                <c:pt idx="429">
                  <c:v>7.45</c:v>
                </c:pt>
                <c:pt idx="430">
                  <c:v>6.02</c:v>
                </c:pt>
                <c:pt idx="431">
                  <c:v>7.87</c:v>
                </c:pt>
                <c:pt idx="432">
                  <c:v>4.6900000000000004</c:v>
                </c:pt>
                <c:pt idx="433">
                  <c:v>6.74</c:v>
                </c:pt>
                <c:pt idx="434">
                  <c:v>4.92</c:v>
                </c:pt>
                <c:pt idx="435">
                  <c:v>7.25</c:v>
                </c:pt>
                <c:pt idx="436">
                  <c:v>5.05</c:v>
                </c:pt>
                <c:pt idx="437">
                  <c:v>5.65</c:v>
                </c:pt>
                <c:pt idx="438">
                  <c:v>9.1999999999999993</c:v>
                </c:pt>
                <c:pt idx="439">
                  <c:v>6.32</c:v>
                </c:pt>
                <c:pt idx="440">
                  <c:v>4.3899999999999997</c:v>
                </c:pt>
                <c:pt idx="441">
                  <c:v>9.18</c:v>
                </c:pt>
                <c:pt idx="442">
                  <c:v>7.42</c:v>
                </c:pt>
                <c:pt idx="443">
                  <c:v>9.69</c:v>
                </c:pt>
                <c:pt idx="444">
                  <c:v>6.03</c:v>
                </c:pt>
                <c:pt idx="445">
                  <c:v>4.37</c:v>
                </c:pt>
                <c:pt idx="446">
                  <c:v>7.73</c:v>
                </c:pt>
                <c:pt idx="447">
                  <c:v>4.8</c:v>
                </c:pt>
                <c:pt idx="448">
                  <c:v>4.8499999999999996</c:v>
                </c:pt>
                <c:pt idx="449">
                  <c:v>8.42</c:v>
                </c:pt>
                <c:pt idx="450">
                  <c:v>9.73</c:v>
                </c:pt>
                <c:pt idx="451">
                  <c:v>9.27</c:v>
                </c:pt>
                <c:pt idx="452">
                  <c:v>4.6100000000000003</c:v>
                </c:pt>
                <c:pt idx="453">
                  <c:v>7.46</c:v>
                </c:pt>
                <c:pt idx="454">
                  <c:v>5.86</c:v>
                </c:pt>
                <c:pt idx="455">
                  <c:v>9.1999999999999993</c:v>
                </c:pt>
                <c:pt idx="456">
                  <c:v>4.46</c:v>
                </c:pt>
                <c:pt idx="457">
                  <c:v>9.44</c:v>
                </c:pt>
                <c:pt idx="458">
                  <c:v>9.4700000000000006</c:v>
                </c:pt>
                <c:pt idx="459">
                  <c:v>7.81</c:v>
                </c:pt>
                <c:pt idx="460">
                  <c:v>6.34</c:v>
                </c:pt>
                <c:pt idx="461">
                  <c:v>5.5</c:v>
                </c:pt>
                <c:pt idx="462">
                  <c:v>9.99</c:v>
                </c:pt>
                <c:pt idx="463">
                  <c:v>8.89</c:v>
                </c:pt>
                <c:pt idx="464">
                  <c:v>9.3000000000000007</c:v>
                </c:pt>
                <c:pt idx="465">
                  <c:v>6.67</c:v>
                </c:pt>
                <c:pt idx="466">
                  <c:v>6.54</c:v>
                </c:pt>
                <c:pt idx="467">
                  <c:v>6.92</c:v>
                </c:pt>
                <c:pt idx="468">
                  <c:v>5.91</c:v>
                </c:pt>
                <c:pt idx="469">
                  <c:v>5.76</c:v>
                </c:pt>
                <c:pt idx="470">
                  <c:v>9.27</c:v>
                </c:pt>
                <c:pt idx="471">
                  <c:v>9.2100000000000009</c:v>
                </c:pt>
                <c:pt idx="472">
                  <c:v>4.6399999999999997</c:v>
                </c:pt>
                <c:pt idx="473">
                  <c:v>7.46</c:v>
                </c:pt>
                <c:pt idx="474">
                  <c:v>5.85</c:v>
                </c:pt>
                <c:pt idx="475">
                  <c:v>6.23</c:v>
                </c:pt>
                <c:pt idx="476">
                  <c:v>6.46</c:v>
                </c:pt>
                <c:pt idx="477">
                  <c:v>7.48</c:v>
                </c:pt>
                <c:pt idx="478">
                  <c:v>5.93</c:v>
                </c:pt>
                <c:pt idx="479">
                  <c:v>4.96</c:v>
                </c:pt>
                <c:pt idx="480">
                  <c:v>4.0599999999999996</c:v>
                </c:pt>
                <c:pt idx="481">
                  <c:v>4.1500000000000004</c:v>
                </c:pt>
                <c:pt idx="482">
                  <c:v>4.3099999999999996</c:v>
                </c:pt>
                <c:pt idx="483">
                  <c:v>7.07</c:v>
                </c:pt>
                <c:pt idx="484">
                  <c:v>6.64</c:v>
                </c:pt>
                <c:pt idx="485">
                  <c:v>4.62</c:v>
                </c:pt>
                <c:pt idx="486">
                  <c:v>4.03</c:v>
                </c:pt>
                <c:pt idx="487">
                  <c:v>8.9700000000000006</c:v>
                </c:pt>
                <c:pt idx="488">
                  <c:v>5.21</c:v>
                </c:pt>
                <c:pt idx="489">
                  <c:v>7.93</c:v>
                </c:pt>
                <c:pt idx="490">
                  <c:v>4.12</c:v>
                </c:pt>
                <c:pt idx="491">
                  <c:v>4.62</c:v>
                </c:pt>
                <c:pt idx="492">
                  <c:v>7.06</c:v>
                </c:pt>
                <c:pt idx="493">
                  <c:v>9.23</c:v>
                </c:pt>
                <c:pt idx="494">
                  <c:v>5.96</c:v>
                </c:pt>
                <c:pt idx="495">
                  <c:v>9.24</c:v>
                </c:pt>
                <c:pt idx="496">
                  <c:v>5.84</c:v>
                </c:pt>
                <c:pt idx="497">
                  <c:v>4.66</c:v>
                </c:pt>
                <c:pt idx="498">
                  <c:v>8.41</c:v>
                </c:pt>
                <c:pt idx="499">
                  <c:v>9.15</c:v>
                </c:pt>
                <c:pt idx="500">
                  <c:v>5.67</c:v>
                </c:pt>
                <c:pt idx="501">
                  <c:v>5.59</c:v>
                </c:pt>
                <c:pt idx="502">
                  <c:v>9.1</c:v>
                </c:pt>
                <c:pt idx="503">
                  <c:v>6.24</c:v>
                </c:pt>
                <c:pt idx="504">
                  <c:v>8.1</c:v>
                </c:pt>
                <c:pt idx="505">
                  <c:v>5.61</c:v>
                </c:pt>
                <c:pt idx="506">
                  <c:v>5.48</c:v>
                </c:pt>
                <c:pt idx="507">
                  <c:v>4.26</c:v>
                </c:pt>
                <c:pt idx="508">
                  <c:v>9.68</c:v>
                </c:pt>
                <c:pt idx="509">
                  <c:v>9.86</c:v>
                </c:pt>
                <c:pt idx="510">
                  <c:v>4.88</c:v>
                </c:pt>
                <c:pt idx="511">
                  <c:v>9.6199999999999992</c:v>
                </c:pt>
                <c:pt idx="512">
                  <c:v>6.28</c:v>
                </c:pt>
                <c:pt idx="513">
                  <c:v>9.58</c:v>
                </c:pt>
                <c:pt idx="514">
                  <c:v>5.79</c:v>
                </c:pt>
                <c:pt idx="515">
                  <c:v>6.25</c:v>
                </c:pt>
                <c:pt idx="516">
                  <c:v>4.46</c:v>
                </c:pt>
                <c:pt idx="517">
                  <c:v>6.56</c:v>
                </c:pt>
                <c:pt idx="518">
                  <c:v>8.6999999999999993</c:v>
                </c:pt>
                <c:pt idx="519">
                  <c:v>8.68</c:v>
                </c:pt>
                <c:pt idx="520">
                  <c:v>4.78</c:v>
                </c:pt>
                <c:pt idx="521">
                  <c:v>4.3899999999999997</c:v>
                </c:pt>
                <c:pt idx="522">
                  <c:v>5.66</c:v>
                </c:pt>
                <c:pt idx="523">
                  <c:v>6.47</c:v>
                </c:pt>
                <c:pt idx="524">
                  <c:v>7.3</c:v>
                </c:pt>
                <c:pt idx="525">
                  <c:v>6.16</c:v>
                </c:pt>
                <c:pt idx="526">
                  <c:v>5.67</c:v>
                </c:pt>
                <c:pt idx="527">
                  <c:v>5.96</c:v>
                </c:pt>
                <c:pt idx="528">
                  <c:v>7.97</c:v>
                </c:pt>
                <c:pt idx="529">
                  <c:v>8.02</c:v>
                </c:pt>
                <c:pt idx="530">
                  <c:v>6.27</c:v>
                </c:pt>
                <c:pt idx="531">
                  <c:v>8.1199999999999992</c:v>
                </c:pt>
                <c:pt idx="532">
                  <c:v>6.65</c:v>
                </c:pt>
                <c:pt idx="533">
                  <c:v>8.69</c:v>
                </c:pt>
                <c:pt idx="534">
                  <c:v>8.0399999999999991</c:v>
                </c:pt>
                <c:pt idx="535">
                  <c:v>5.0999999999999996</c:v>
                </c:pt>
                <c:pt idx="536">
                  <c:v>8.19</c:v>
                </c:pt>
                <c:pt idx="537">
                  <c:v>4.87</c:v>
                </c:pt>
                <c:pt idx="538">
                  <c:v>6.46</c:v>
                </c:pt>
                <c:pt idx="539">
                  <c:v>8.68</c:v>
                </c:pt>
                <c:pt idx="540">
                  <c:v>7.72</c:v>
                </c:pt>
                <c:pt idx="541">
                  <c:v>9.33</c:v>
                </c:pt>
                <c:pt idx="542">
                  <c:v>9.25</c:v>
                </c:pt>
                <c:pt idx="543">
                  <c:v>6.91</c:v>
                </c:pt>
                <c:pt idx="544">
                  <c:v>8.6199999999999992</c:v>
                </c:pt>
                <c:pt idx="545">
                  <c:v>5.88</c:v>
                </c:pt>
                <c:pt idx="546">
                  <c:v>7.3</c:v>
                </c:pt>
                <c:pt idx="547">
                  <c:v>5.93</c:v>
                </c:pt>
                <c:pt idx="548">
                  <c:v>8.19</c:v>
                </c:pt>
                <c:pt idx="549">
                  <c:v>8.7799999999999994</c:v>
                </c:pt>
                <c:pt idx="550">
                  <c:v>7.29</c:v>
                </c:pt>
                <c:pt idx="551">
                  <c:v>7.37</c:v>
                </c:pt>
                <c:pt idx="552">
                  <c:v>9</c:v>
                </c:pt>
                <c:pt idx="553">
                  <c:v>9.5299999999999994</c:v>
                </c:pt>
                <c:pt idx="554">
                  <c:v>9.85</c:v>
                </c:pt>
                <c:pt idx="555">
                  <c:v>8.74</c:v>
                </c:pt>
                <c:pt idx="556">
                  <c:v>5.73</c:v>
                </c:pt>
                <c:pt idx="557">
                  <c:v>2.67</c:v>
                </c:pt>
                <c:pt idx="558">
                  <c:v>2.4</c:v>
                </c:pt>
                <c:pt idx="559">
                  <c:v>2</c:v>
                </c:pt>
                <c:pt idx="560">
                  <c:v>4</c:v>
                </c:pt>
                <c:pt idx="561">
                  <c:v>4</c:v>
                </c:pt>
                <c:pt idx="562">
                  <c:v>2.5</c:v>
                </c:pt>
                <c:pt idx="563">
                  <c:v>3.5</c:v>
                </c:pt>
                <c:pt idx="564">
                  <c:v>2.2999999999999998</c:v>
                </c:pt>
                <c:pt idx="565">
                  <c:v>3</c:v>
                </c:pt>
                <c:pt idx="566">
                  <c:v>2.6</c:v>
                </c:pt>
                <c:pt idx="567">
                  <c:v>2.2999999999999998</c:v>
                </c:pt>
                <c:pt idx="568">
                  <c:v>2</c:v>
                </c:pt>
                <c:pt idx="569">
                  <c:v>3.3</c:v>
                </c:pt>
                <c:pt idx="570">
                  <c:v>1.8</c:v>
                </c:pt>
                <c:pt idx="571">
                  <c:v>1.5</c:v>
                </c:pt>
                <c:pt idx="572">
                  <c:v>2.8</c:v>
                </c:pt>
                <c:pt idx="573">
                  <c:v>2.2999999999999998</c:v>
                </c:pt>
                <c:pt idx="574">
                  <c:v>1.8</c:v>
                </c:pt>
                <c:pt idx="575">
                  <c:v>3.6</c:v>
                </c:pt>
                <c:pt idx="576">
                  <c:v>2.4</c:v>
                </c:pt>
                <c:pt idx="577">
                  <c:v>3.7</c:v>
                </c:pt>
                <c:pt idx="578">
                  <c:v>3.9</c:v>
                </c:pt>
                <c:pt idx="579">
                  <c:v>2.7</c:v>
                </c:pt>
                <c:pt idx="580">
                  <c:v>3.8</c:v>
                </c:pt>
                <c:pt idx="581">
                  <c:v>3.8</c:v>
                </c:pt>
                <c:pt idx="582">
                  <c:v>3.2</c:v>
                </c:pt>
                <c:pt idx="583">
                  <c:v>3.6</c:v>
                </c:pt>
                <c:pt idx="584">
                  <c:v>2.6</c:v>
                </c:pt>
                <c:pt idx="585">
                  <c:v>2</c:v>
                </c:pt>
                <c:pt idx="586">
                  <c:v>2.9</c:v>
                </c:pt>
                <c:pt idx="587">
                  <c:v>3</c:v>
                </c:pt>
                <c:pt idx="588">
                  <c:v>3.5</c:v>
                </c:pt>
                <c:pt idx="589">
                  <c:v>2.6</c:v>
                </c:pt>
                <c:pt idx="590">
                  <c:v>1.5</c:v>
                </c:pt>
                <c:pt idx="591">
                  <c:v>3.8</c:v>
                </c:pt>
                <c:pt idx="592">
                  <c:v>4</c:v>
                </c:pt>
                <c:pt idx="593">
                  <c:v>3.3</c:v>
                </c:pt>
                <c:pt idx="594">
                  <c:v>3.3</c:v>
                </c:pt>
                <c:pt idx="595">
                  <c:v>1.9</c:v>
                </c:pt>
                <c:pt idx="596">
                  <c:v>2.9</c:v>
                </c:pt>
                <c:pt idx="597">
                  <c:v>3.9</c:v>
                </c:pt>
                <c:pt idx="598">
                  <c:v>2.1</c:v>
                </c:pt>
                <c:pt idx="599">
                  <c:v>3.3</c:v>
                </c:pt>
                <c:pt idx="600">
                  <c:v>2.8</c:v>
                </c:pt>
                <c:pt idx="601">
                  <c:v>2.1</c:v>
                </c:pt>
                <c:pt idx="602">
                  <c:v>3.7</c:v>
                </c:pt>
                <c:pt idx="603">
                  <c:v>3.9</c:v>
                </c:pt>
                <c:pt idx="604">
                  <c:v>1.6</c:v>
                </c:pt>
                <c:pt idx="605">
                  <c:v>1.7</c:v>
                </c:pt>
                <c:pt idx="606">
                  <c:v>1.5</c:v>
                </c:pt>
                <c:pt idx="607">
                  <c:v>11.3</c:v>
                </c:pt>
                <c:pt idx="608">
                  <c:v>12</c:v>
                </c:pt>
                <c:pt idx="609">
                  <c:v>12.5</c:v>
                </c:pt>
                <c:pt idx="610">
                  <c:v>12.6</c:v>
                </c:pt>
                <c:pt idx="611">
                  <c:v>10.6</c:v>
                </c:pt>
                <c:pt idx="612">
                  <c:v>12.7</c:v>
                </c:pt>
                <c:pt idx="613">
                  <c:v>10.7</c:v>
                </c:pt>
                <c:pt idx="614">
                  <c:v>12.5</c:v>
                </c:pt>
                <c:pt idx="615">
                  <c:v>12.1</c:v>
                </c:pt>
                <c:pt idx="616">
                  <c:v>12.2</c:v>
                </c:pt>
                <c:pt idx="617">
                  <c:v>12.7</c:v>
                </c:pt>
                <c:pt idx="618">
                  <c:v>10.4</c:v>
                </c:pt>
                <c:pt idx="619">
                  <c:v>11.8</c:v>
                </c:pt>
                <c:pt idx="620">
                  <c:v>11.3</c:v>
                </c:pt>
                <c:pt idx="621">
                  <c:v>11.9</c:v>
                </c:pt>
                <c:pt idx="622">
                  <c:v>12.2</c:v>
                </c:pt>
                <c:pt idx="623">
                  <c:v>11.8</c:v>
                </c:pt>
                <c:pt idx="624">
                  <c:v>12.3</c:v>
                </c:pt>
                <c:pt idx="625">
                  <c:v>12</c:v>
                </c:pt>
                <c:pt idx="626">
                  <c:v>11.9</c:v>
                </c:pt>
                <c:pt idx="627">
                  <c:v>11.9</c:v>
                </c:pt>
                <c:pt idx="628">
                  <c:v>10.199999999999999</c:v>
                </c:pt>
                <c:pt idx="629">
                  <c:v>11.4</c:v>
                </c:pt>
                <c:pt idx="630">
                  <c:v>12.8</c:v>
                </c:pt>
                <c:pt idx="631">
                  <c:v>10.6</c:v>
                </c:pt>
                <c:pt idx="632">
                  <c:v>12.4</c:v>
                </c:pt>
                <c:pt idx="633">
                  <c:v>10</c:v>
                </c:pt>
                <c:pt idx="634">
                  <c:v>12.4</c:v>
                </c:pt>
                <c:pt idx="635">
                  <c:v>11.8</c:v>
                </c:pt>
                <c:pt idx="636">
                  <c:v>11.1</c:v>
                </c:pt>
                <c:pt idx="637">
                  <c:v>11</c:v>
                </c:pt>
                <c:pt idx="638">
                  <c:v>11.3</c:v>
                </c:pt>
                <c:pt idx="639">
                  <c:v>12.1</c:v>
                </c:pt>
                <c:pt idx="640">
                  <c:v>11.7</c:v>
                </c:pt>
                <c:pt idx="641">
                  <c:v>10</c:v>
                </c:pt>
                <c:pt idx="642">
                  <c:v>10.1</c:v>
                </c:pt>
                <c:pt idx="643">
                  <c:v>11.6</c:v>
                </c:pt>
                <c:pt idx="644">
                  <c:v>10.6</c:v>
                </c:pt>
                <c:pt idx="645">
                  <c:v>10.7</c:v>
                </c:pt>
                <c:pt idx="646">
                  <c:v>10.3</c:v>
                </c:pt>
                <c:pt idx="647">
                  <c:v>11.6</c:v>
                </c:pt>
                <c:pt idx="648">
                  <c:v>12.1</c:v>
                </c:pt>
                <c:pt idx="649">
                  <c:v>12.5</c:v>
                </c:pt>
                <c:pt idx="650">
                  <c:v>10.9</c:v>
                </c:pt>
                <c:pt idx="651">
                  <c:v>13</c:v>
                </c:pt>
                <c:pt idx="652">
                  <c:v>11.5</c:v>
                </c:pt>
                <c:pt idx="653">
                  <c:v>11.1</c:v>
                </c:pt>
                <c:pt idx="654">
                  <c:v>12.5</c:v>
                </c:pt>
                <c:pt idx="655">
                  <c:v>12.2</c:v>
                </c:pt>
                <c:pt idx="656">
                  <c:v>12.4</c:v>
                </c:pt>
                <c:pt idx="657">
                  <c:v>4.1399999999999997</c:v>
                </c:pt>
                <c:pt idx="658">
                  <c:v>9.84</c:v>
                </c:pt>
                <c:pt idx="659">
                  <c:v>8.56</c:v>
                </c:pt>
              </c:numCache>
            </c:numRef>
          </c:xVal>
          <c:yVal>
            <c:numRef>
              <c:f>'montant x temps '!$C$2:$C$661</c:f>
              <c:numCache>
                <c:formatCode>General</c:formatCode>
                <c:ptCount val="660"/>
                <c:pt idx="0">
                  <c:v>48.26</c:v>
                </c:pt>
                <c:pt idx="1">
                  <c:v>55.46</c:v>
                </c:pt>
                <c:pt idx="2">
                  <c:v>53.2</c:v>
                </c:pt>
                <c:pt idx="3">
                  <c:v>47.61</c:v>
                </c:pt>
                <c:pt idx="4">
                  <c:v>81.569999999999993</c:v>
                </c:pt>
                <c:pt idx="5">
                  <c:v>63.5</c:v>
                </c:pt>
                <c:pt idx="6">
                  <c:v>46.17</c:v>
                </c:pt>
                <c:pt idx="7">
                  <c:v>46.9</c:v>
                </c:pt>
                <c:pt idx="8">
                  <c:v>39.99</c:v>
                </c:pt>
                <c:pt idx="9">
                  <c:v>58.85</c:v>
                </c:pt>
                <c:pt idx="10">
                  <c:v>55.41</c:v>
                </c:pt>
                <c:pt idx="11">
                  <c:v>64.61</c:v>
                </c:pt>
                <c:pt idx="12">
                  <c:v>45.75</c:v>
                </c:pt>
                <c:pt idx="13">
                  <c:v>73.91</c:v>
                </c:pt>
                <c:pt idx="14">
                  <c:v>51.33</c:v>
                </c:pt>
                <c:pt idx="15">
                  <c:v>49.61</c:v>
                </c:pt>
                <c:pt idx="16">
                  <c:v>83.73</c:v>
                </c:pt>
                <c:pt idx="17">
                  <c:v>44.63</c:v>
                </c:pt>
                <c:pt idx="18">
                  <c:v>80.989999999999995</c:v>
                </c:pt>
                <c:pt idx="19">
                  <c:v>74.239999999999995</c:v>
                </c:pt>
                <c:pt idx="20">
                  <c:v>72.72</c:v>
                </c:pt>
                <c:pt idx="21">
                  <c:v>44.6</c:v>
                </c:pt>
                <c:pt idx="22">
                  <c:v>57.16</c:v>
                </c:pt>
                <c:pt idx="23">
                  <c:v>41.59</c:v>
                </c:pt>
                <c:pt idx="24">
                  <c:v>52.61</c:v>
                </c:pt>
                <c:pt idx="25">
                  <c:v>54.95</c:v>
                </c:pt>
                <c:pt idx="26">
                  <c:v>72.44</c:v>
                </c:pt>
                <c:pt idx="27">
                  <c:v>68.91</c:v>
                </c:pt>
                <c:pt idx="28">
                  <c:v>77.150000000000006</c:v>
                </c:pt>
                <c:pt idx="29">
                  <c:v>44.4</c:v>
                </c:pt>
                <c:pt idx="30">
                  <c:v>62.93</c:v>
                </c:pt>
                <c:pt idx="31">
                  <c:v>37.46</c:v>
                </c:pt>
                <c:pt idx="32">
                  <c:v>73.75</c:v>
                </c:pt>
                <c:pt idx="33">
                  <c:v>67.150000000000006</c:v>
                </c:pt>
                <c:pt idx="34">
                  <c:v>77.400000000000006</c:v>
                </c:pt>
                <c:pt idx="35">
                  <c:v>63.51</c:v>
                </c:pt>
                <c:pt idx="36">
                  <c:v>51.14</c:v>
                </c:pt>
                <c:pt idx="37">
                  <c:v>70.61</c:v>
                </c:pt>
                <c:pt idx="38">
                  <c:v>44.23</c:v>
                </c:pt>
                <c:pt idx="39">
                  <c:v>50.83</c:v>
                </c:pt>
                <c:pt idx="40">
                  <c:v>45.83</c:v>
                </c:pt>
                <c:pt idx="41">
                  <c:v>45.66</c:v>
                </c:pt>
                <c:pt idx="42">
                  <c:v>54.57</c:v>
                </c:pt>
                <c:pt idx="43">
                  <c:v>56.36</c:v>
                </c:pt>
                <c:pt idx="44">
                  <c:v>64.02</c:v>
                </c:pt>
                <c:pt idx="45">
                  <c:v>71.150000000000006</c:v>
                </c:pt>
                <c:pt idx="46">
                  <c:v>46.33</c:v>
                </c:pt>
                <c:pt idx="47">
                  <c:v>52.08</c:v>
                </c:pt>
                <c:pt idx="48">
                  <c:v>80.16</c:v>
                </c:pt>
                <c:pt idx="49">
                  <c:v>79.55</c:v>
                </c:pt>
                <c:pt idx="50">
                  <c:v>78.27</c:v>
                </c:pt>
                <c:pt idx="51">
                  <c:v>51.69</c:v>
                </c:pt>
                <c:pt idx="52">
                  <c:v>80.47</c:v>
                </c:pt>
                <c:pt idx="53">
                  <c:v>66.28</c:v>
                </c:pt>
                <c:pt idx="54">
                  <c:v>57</c:v>
                </c:pt>
                <c:pt idx="55">
                  <c:v>58.01</c:v>
                </c:pt>
                <c:pt idx="56">
                  <c:v>52.3</c:v>
                </c:pt>
                <c:pt idx="57">
                  <c:v>38.17</c:v>
                </c:pt>
                <c:pt idx="58">
                  <c:v>38.24</c:v>
                </c:pt>
                <c:pt idx="59">
                  <c:v>76.39</c:v>
                </c:pt>
                <c:pt idx="60">
                  <c:v>63.07</c:v>
                </c:pt>
                <c:pt idx="61">
                  <c:v>59.39</c:v>
                </c:pt>
                <c:pt idx="62">
                  <c:v>44.25</c:v>
                </c:pt>
                <c:pt idx="63">
                  <c:v>68.760000000000005</c:v>
                </c:pt>
                <c:pt idx="64">
                  <c:v>52.87</c:v>
                </c:pt>
                <c:pt idx="65">
                  <c:v>40.86</c:v>
                </c:pt>
                <c:pt idx="66">
                  <c:v>58.86</c:v>
                </c:pt>
                <c:pt idx="67">
                  <c:v>55.6</c:v>
                </c:pt>
                <c:pt idx="68">
                  <c:v>43.2</c:v>
                </c:pt>
                <c:pt idx="69">
                  <c:v>46.77</c:v>
                </c:pt>
                <c:pt idx="70">
                  <c:v>52.51</c:v>
                </c:pt>
                <c:pt idx="71">
                  <c:v>54.28</c:v>
                </c:pt>
                <c:pt idx="72">
                  <c:v>54.32</c:v>
                </c:pt>
                <c:pt idx="73">
                  <c:v>57.02</c:v>
                </c:pt>
                <c:pt idx="74">
                  <c:v>68.48</c:v>
                </c:pt>
                <c:pt idx="75">
                  <c:v>43.97</c:v>
                </c:pt>
                <c:pt idx="76">
                  <c:v>47.74</c:v>
                </c:pt>
                <c:pt idx="77">
                  <c:v>77.84</c:v>
                </c:pt>
                <c:pt idx="78">
                  <c:v>46.76</c:v>
                </c:pt>
                <c:pt idx="79">
                  <c:v>69.61</c:v>
                </c:pt>
                <c:pt idx="80">
                  <c:v>52.36</c:v>
                </c:pt>
                <c:pt idx="81">
                  <c:v>46.8</c:v>
                </c:pt>
                <c:pt idx="82">
                  <c:v>39.72</c:v>
                </c:pt>
                <c:pt idx="83">
                  <c:v>72.540000000000006</c:v>
                </c:pt>
                <c:pt idx="84">
                  <c:v>79.349999999999994</c:v>
                </c:pt>
                <c:pt idx="85">
                  <c:v>56.7</c:v>
                </c:pt>
                <c:pt idx="86">
                  <c:v>64.599999999999994</c:v>
                </c:pt>
                <c:pt idx="87">
                  <c:v>65.95</c:v>
                </c:pt>
                <c:pt idx="88">
                  <c:v>57.47</c:v>
                </c:pt>
                <c:pt idx="89">
                  <c:v>56.66</c:v>
                </c:pt>
                <c:pt idx="90">
                  <c:v>69.040000000000006</c:v>
                </c:pt>
                <c:pt idx="91">
                  <c:v>39.58</c:v>
                </c:pt>
                <c:pt idx="92">
                  <c:v>57.9</c:v>
                </c:pt>
                <c:pt idx="93">
                  <c:v>63.74</c:v>
                </c:pt>
                <c:pt idx="94">
                  <c:v>38.69</c:v>
                </c:pt>
                <c:pt idx="95">
                  <c:v>65.87</c:v>
                </c:pt>
                <c:pt idx="96">
                  <c:v>62.13</c:v>
                </c:pt>
                <c:pt idx="97">
                  <c:v>50.46</c:v>
                </c:pt>
                <c:pt idx="98">
                  <c:v>77.16</c:v>
                </c:pt>
                <c:pt idx="99">
                  <c:v>52.84</c:v>
                </c:pt>
                <c:pt idx="100">
                  <c:v>84.28</c:v>
                </c:pt>
                <c:pt idx="101">
                  <c:v>44.37</c:v>
                </c:pt>
                <c:pt idx="102">
                  <c:v>57.43</c:v>
                </c:pt>
                <c:pt idx="103">
                  <c:v>45.31</c:v>
                </c:pt>
                <c:pt idx="104">
                  <c:v>68.959999999999994</c:v>
                </c:pt>
                <c:pt idx="105">
                  <c:v>81.680000000000007</c:v>
                </c:pt>
                <c:pt idx="106">
                  <c:v>75.739999999999995</c:v>
                </c:pt>
                <c:pt idx="107">
                  <c:v>52.45</c:v>
                </c:pt>
                <c:pt idx="108">
                  <c:v>68.069999999999993</c:v>
                </c:pt>
                <c:pt idx="109">
                  <c:v>51.67</c:v>
                </c:pt>
                <c:pt idx="110">
                  <c:v>48.8</c:v>
                </c:pt>
                <c:pt idx="111">
                  <c:v>77.069999999999993</c:v>
                </c:pt>
                <c:pt idx="112">
                  <c:v>53.41</c:v>
                </c:pt>
                <c:pt idx="113">
                  <c:v>68.260000000000005</c:v>
                </c:pt>
                <c:pt idx="114">
                  <c:v>77.38</c:v>
                </c:pt>
                <c:pt idx="115">
                  <c:v>65.400000000000006</c:v>
                </c:pt>
                <c:pt idx="116">
                  <c:v>62.51</c:v>
                </c:pt>
                <c:pt idx="117">
                  <c:v>55.07</c:v>
                </c:pt>
                <c:pt idx="118">
                  <c:v>50.27</c:v>
                </c:pt>
                <c:pt idx="119">
                  <c:v>35.799999999999997</c:v>
                </c:pt>
                <c:pt idx="120">
                  <c:v>64.55</c:v>
                </c:pt>
                <c:pt idx="121">
                  <c:v>73.87</c:v>
                </c:pt>
                <c:pt idx="122">
                  <c:v>41.82</c:v>
                </c:pt>
                <c:pt idx="123">
                  <c:v>43.18</c:v>
                </c:pt>
                <c:pt idx="124">
                  <c:v>47.22</c:v>
                </c:pt>
                <c:pt idx="125">
                  <c:v>53.91</c:v>
                </c:pt>
                <c:pt idx="126">
                  <c:v>59.74</c:v>
                </c:pt>
                <c:pt idx="127">
                  <c:v>74.14</c:v>
                </c:pt>
                <c:pt idx="128">
                  <c:v>76.55</c:v>
                </c:pt>
                <c:pt idx="129">
                  <c:v>37.07</c:v>
                </c:pt>
                <c:pt idx="130">
                  <c:v>71.33</c:v>
                </c:pt>
                <c:pt idx="131">
                  <c:v>80.31</c:v>
                </c:pt>
                <c:pt idx="132">
                  <c:v>70.489999999999995</c:v>
                </c:pt>
                <c:pt idx="133">
                  <c:v>28.75</c:v>
                </c:pt>
                <c:pt idx="134">
                  <c:v>43.95</c:v>
                </c:pt>
                <c:pt idx="135">
                  <c:v>85.03</c:v>
                </c:pt>
                <c:pt idx="136">
                  <c:v>76.47</c:v>
                </c:pt>
                <c:pt idx="137">
                  <c:v>51.12</c:v>
                </c:pt>
                <c:pt idx="138">
                  <c:v>68.02</c:v>
                </c:pt>
                <c:pt idx="139">
                  <c:v>65.16</c:v>
                </c:pt>
                <c:pt idx="140">
                  <c:v>58</c:v>
                </c:pt>
                <c:pt idx="141">
                  <c:v>55.1</c:v>
                </c:pt>
                <c:pt idx="142">
                  <c:v>21.1</c:v>
                </c:pt>
                <c:pt idx="143">
                  <c:v>49.54</c:v>
                </c:pt>
                <c:pt idx="144">
                  <c:v>40.880000000000003</c:v>
                </c:pt>
                <c:pt idx="145">
                  <c:v>27.64</c:v>
                </c:pt>
                <c:pt idx="146">
                  <c:v>96.31</c:v>
                </c:pt>
                <c:pt idx="147">
                  <c:v>96.03</c:v>
                </c:pt>
                <c:pt idx="148">
                  <c:v>77.290000000000006</c:v>
                </c:pt>
                <c:pt idx="149">
                  <c:v>61.92</c:v>
                </c:pt>
                <c:pt idx="150">
                  <c:v>63.57</c:v>
                </c:pt>
                <c:pt idx="151">
                  <c:v>78.3</c:v>
                </c:pt>
                <c:pt idx="152">
                  <c:v>50.07</c:v>
                </c:pt>
                <c:pt idx="153">
                  <c:v>51.35</c:v>
                </c:pt>
                <c:pt idx="154">
                  <c:v>53.41</c:v>
                </c:pt>
                <c:pt idx="155">
                  <c:v>52.91</c:v>
                </c:pt>
                <c:pt idx="156">
                  <c:v>65.28</c:v>
                </c:pt>
                <c:pt idx="157">
                  <c:v>100.78</c:v>
                </c:pt>
                <c:pt idx="158">
                  <c:v>74.760000000000005</c:v>
                </c:pt>
                <c:pt idx="159">
                  <c:v>53.96</c:v>
                </c:pt>
                <c:pt idx="160">
                  <c:v>62.53</c:v>
                </c:pt>
                <c:pt idx="161">
                  <c:v>83.15</c:v>
                </c:pt>
                <c:pt idx="162">
                  <c:v>76.959999999999994</c:v>
                </c:pt>
                <c:pt idx="163">
                  <c:v>54.57</c:v>
                </c:pt>
                <c:pt idx="164">
                  <c:v>115.29</c:v>
                </c:pt>
                <c:pt idx="165">
                  <c:v>88.43</c:v>
                </c:pt>
                <c:pt idx="166">
                  <c:v>62.31</c:v>
                </c:pt>
                <c:pt idx="167">
                  <c:v>29.32</c:v>
                </c:pt>
                <c:pt idx="168">
                  <c:v>67.36</c:v>
                </c:pt>
                <c:pt idx="169">
                  <c:v>88.53</c:v>
                </c:pt>
                <c:pt idx="170">
                  <c:v>52.97</c:v>
                </c:pt>
                <c:pt idx="171">
                  <c:v>83.57</c:v>
                </c:pt>
                <c:pt idx="172">
                  <c:v>92.48</c:v>
                </c:pt>
                <c:pt idx="173">
                  <c:v>66.709999999999994</c:v>
                </c:pt>
                <c:pt idx="174">
                  <c:v>42.01</c:v>
                </c:pt>
                <c:pt idx="175">
                  <c:v>49.81</c:v>
                </c:pt>
                <c:pt idx="176">
                  <c:v>56.55</c:v>
                </c:pt>
                <c:pt idx="177">
                  <c:v>44.21</c:v>
                </c:pt>
                <c:pt idx="178">
                  <c:v>50.61</c:v>
                </c:pt>
                <c:pt idx="179">
                  <c:v>60.58</c:v>
                </c:pt>
                <c:pt idx="180">
                  <c:v>44.09</c:v>
                </c:pt>
                <c:pt idx="181">
                  <c:v>75.03</c:v>
                </c:pt>
                <c:pt idx="182">
                  <c:v>44.82</c:v>
                </c:pt>
                <c:pt idx="183">
                  <c:v>86.23</c:v>
                </c:pt>
                <c:pt idx="184">
                  <c:v>75.459999999999994</c:v>
                </c:pt>
                <c:pt idx="185">
                  <c:v>33.049999999999997</c:v>
                </c:pt>
                <c:pt idx="186">
                  <c:v>87.4</c:v>
                </c:pt>
                <c:pt idx="187">
                  <c:v>40.19</c:v>
                </c:pt>
                <c:pt idx="188">
                  <c:v>43.95</c:v>
                </c:pt>
                <c:pt idx="189">
                  <c:v>61.06</c:v>
                </c:pt>
                <c:pt idx="190">
                  <c:v>63.38</c:v>
                </c:pt>
                <c:pt idx="191">
                  <c:v>8</c:v>
                </c:pt>
                <c:pt idx="192">
                  <c:v>67.44</c:v>
                </c:pt>
                <c:pt idx="193">
                  <c:v>82.05</c:v>
                </c:pt>
                <c:pt idx="194">
                  <c:v>42.33</c:v>
                </c:pt>
                <c:pt idx="195">
                  <c:v>46.56</c:v>
                </c:pt>
                <c:pt idx="196">
                  <c:v>42.01</c:v>
                </c:pt>
                <c:pt idx="197">
                  <c:v>31.21</c:v>
                </c:pt>
                <c:pt idx="198">
                  <c:v>46.24</c:v>
                </c:pt>
                <c:pt idx="199">
                  <c:v>50.33</c:v>
                </c:pt>
                <c:pt idx="200">
                  <c:v>118.54</c:v>
                </c:pt>
                <c:pt idx="201">
                  <c:v>66.209999999999994</c:v>
                </c:pt>
                <c:pt idx="202">
                  <c:v>57.53</c:v>
                </c:pt>
                <c:pt idx="203">
                  <c:v>62.71</c:v>
                </c:pt>
                <c:pt idx="204">
                  <c:v>50.62</c:v>
                </c:pt>
                <c:pt idx="205">
                  <c:v>93.01</c:v>
                </c:pt>
                <c:pt idx="206">
                  <c:v>66.86</c:v>
                </c:pt>
                <c:pt idx="207">
                  <c:v>26.63</c:v>
                </c:pt>
                <c:pt idx="208">
                  <c:v>80.430000000000007</c:v>
                </c:pt>
                <c:pt idx="209">
                  <c:v>95.27</c:v>
                </c:pt>
                <c:pt idx="210">
                  <c:v>35.78</c:v>
                </c:pt>
                <c:pt idx="211">
                  <c:v>79.290000000000006</c:v>
                </c:pt>
                <c:pt idx="212">
                  <c:v>70.06</c:v>
                </c:pt>
                <c:pt idx="213">
                  <c:v>69.06</c:v>
                </c:pt>
                <c:pt idx="214">
                  <c:v>45.92</c:v>
                </c:pt>
                <c:pt idx="215">
                  <c:v>89.98</c:v>
                </c:pt>
                <c:pt idx="216">
                  <c:v>55.5</c:v>
                </c:pt>
                <c:pt idx="217">
                  <c:v>90.99</c:v>
                </c:pt>
                <c:pt idx="218">
                  <c:v>76.010000000000005</c:v>
                </c:pt>
                <c:pt idx="219">
                  <c:v>34.28</c:v>
                </c:pt>
                <c:pt idx="220">
                  <c:v>72.56</c:v>
                </c:pt>
                <c:pt idx="221">
                  <c:v>49.27</c:v>
                </c:pt>
                <c:pt idx="222">
                  <c:v>65.209999999999994</c:v>
                </c:pt>
                <c:pt idx="223">
                  <c:v>86.46</c:v>
                </c:pt>
                <c:pt idx="224">
                  <c:v>45.76</c:v>
                </c:pt>
                <c:pt idx="225">
                  <c:v>30.74</c:v>
                </c:pt>
                <c:pt idx="226">
                  <c:v>81.08</c:v>
                </c:pt>
                <c:pt idx="227">
                  <c:v>51</c:v>
                </c:pt>
                <c:pt idx="228">
                  <c:v>67.36</c:v>
                </c:pt>
                <c:pt idx="229">
                  <c:v>50.29</c:v>
                </c:pt>
                <c:pt idx="230">
                  <c:v>83.76</c:v>
                </c:pt>
                <c:pt idx="231">
                  <c:v>21.46</c:v>
                </c:pt>
                <c:pt idx="232">
                  <c:v>52.51</c:v>
                </c:pt>
                <c:pt idx="233">
                  <c:v>24.63</c:v>
                </c:pt>
                <c:pt idx="234">
                  <c:v>9.23</c:v>
                </c:pt>
                <c:pt idx="235">
                  <c:v>39.17</c:v>
                </c:pt>
                <c:pt idx="236">
                  <c:v>50.74</c:v>
                </c:pt>
                <c:pt idx="237">
                  <c:v>86.68</c:v>
                </c:pt>
                <c:pt idx="238">
                  <c:v>79.790000000000006</c:v>
                </c:pt>
                <c:pt idx="239">
                  <c:v>26.08</c:v>
                </c:pt>
                <c:pt idx="240">
                  <c:v>72.25</c:v>
                </c:pt>
                <c:pt idx="241">
                  <c:v>49.24</c:v>
                </c:pt>
                <c:pt idx="242">
                  <c:v>78.39</c:v>
                </c:pt>
                <c:pt idx="243">
                  <c:v>70.22</c:v>
                </c:pt>
                <c:pt idx="244">
                  <c:v>60.49</c:v>
                </c:pt>
                <c:pt idx="245">
                  <c:v>62.92</c:v>
                </c:pt>
                <c:pt idx="246">
                  <c:v>48.83</c:v>
                </c:pt>
                <c:pt idx="247">
                  <c:v>39.82</c:v>
                </c:pt>
                <c:pt idx="248">
                  <c:v>69.86</c:v>
                </c:pt>
                <c:pt idx="249">
                  <c:v>67.95</c:v>
                </c:pt>
                <c:pt idx="250">
                  <c:v>50.66</c:v>
                </c:pt>
                <c:pt idx="251">
                  <c:v>31.48</c:v>
                </c:pt>
                <c:pt idx="252">
                  <c:v>37.39</c:v>
                </c:pt>
                <c:pt idx="253">
                  <c:v>51.67</c:v>
                </c:pt>
                <c:pt idx="254">
                  <c:v>43.81</c:v>
                </c:pt>
                <c:pt idx="255">
                  <c:v>70.430000000000007</c:v>
                </c:pt>
                <c:pt idx="256">
                  <c:v>79.900000000000006</c:v>
                </c:pt>
                <c:pt idx="257">
                  <c:v>63.34</c:v>
                </c:pt>
                <c:pt idx="258">
                  <c:v>30.62</c:v>
                </c:pt>
                <c:pt idx="259">
                  <c:v>51.36</c:v>
                </c:pt>
                <c:pt idx="260">
                  <c:v>62.85</c:v>
                </c:pt>
                <c:pt idx="261">
                  <c:v>55.39</c:v>
                </c:pt>
                <c:pt idx="262">
                  <c:v>91.7</c:v>
                </c:pt>
                <c:pt idx="263">
                  <c:v>64.67</c:v>
                </c:pt>
                <c:pt idx="264">
                  <c:v>66.13</c:v>
                </c:pt>
                <c:pt idx="265">
                  <c:v>47.04</c:v>
                </c:pt>
                <c:pt idx="266">
                  <c:v>35.380000000000003</c:v>
                </c:pt>
                <c:pt idx="267">
                  <c:v>109.79</c:v>
                </c:pt>
                <c:pt idx="268">
                  <c:v>48.99</c:v>
                </c:pt>
                <c:pt idx="269">
                  <c:v>84.13</c:v>
                </c:pt>
                <c:pt idx="270">
                  <c:v>58.41</c:v>
                </c:pt>
                <c:pt idx="271">
                  <c:v>38.1</c:v>
                </c:pt>
                <c:pt idx="272">
                  <c:v>66.22</c:v>
                </c:pt>
                <c:pt idx="273">
                  <c:v>89.32</c:v>
                </c:pt>
                <c:pt idx="274">
                  <c:v>71.599999999999994</c:v>
                </c:pt>
                <c:pt idx="275">
                  <c:v>51.89</c:v>
                </c:pt>
                <c:pt idx="276">
                  <c:v>65.260000000000005</c:v>
                </c:pt>
                <c:pt idx="277">
                  <c:v>70.739999999999995</c:v>
                </c:pt>
                <c:pt idx="278">
                  <c:v>62.56</c:v>
                </c:pt>
                <c:pt idx="279">
                  <c:v>83.08</c:v>
                </c:pt>
                <c:pt idx="280">
                  <c:v>71.040000000000006</c:v>
                </c:pt>
                <c:pt idx="281">
                  <c:v>44.64</c:v>
                </c:pt>
                <c:pt idx="282">
                  <c:v>46.56</c:v>
                </c:pt>
                <c:pt idx="283">
                  <c:v>38.090000000000003</c:v>
                </c:pt>
                <c:pt idx="284">
                  <c:v>66.430000000000007</c:v>
                </c:pt>
                <c:pt idx="285">
                  <c:v>36.99</c:v>
                </c:pt>
                <c:pt idx="286">
                  <c:v>99.96</c:v>
                </c:pt>
                <c:pt idx="287">
                  <c:v>70.040000000000006</c:v>
                </c:pt>
                <c:pt idx="288">
                  <c:v>77.760000000000005</c:v>
                </c:pt>
                <c:pt idx="289">
                  <c:v>36.31</c:v>
                </c:pt>
                <c:pt idx="290">
                  <c:v>73.78</c:v>
                </c:pt>
                <c:pt idx="291">
                  <c:v>64.36</c:v>
                </c:pt>
                <c:pt idx="292">
                  <c:v>57.42</c:v>
                </c:pt>
                <c:pt idx="293">
                  <c:v>63.1</c:v>
                </c:pt>
                <c:pt idx="294">
                  <c:v>92.22</c:v>
                </c:pt>
                <c:pt idx="295">
                  <c:v>63.19</c:v>
                </c:pt>
                <c:pt idx="296">
                  <c:v>30.67</c:v>
                </c:pt>
                <c:pt idx="297">
                  <c:v>49.92</c:v>
                </c:pt>
                <c:pt idx="298">
                  <c:v>22.54</c:v>
                </c:pt>
                <c:pt idx="299">
                  <c:v>74.41</c:v>
                </c:pt>
                <c:pt idx="300">
                  <c:v>53.62</c:v>
                </c:pt>
                <c:pt idx="301">
                  <c:v>47.69</c:v>
                </c:pt>
                <c:pt idx="302">
                  <c:v>64.83</c:v>
                </c:pt>
                <c:pt idx="303">
                  <c:v>56.59</c:v>
                </c:pt>
                <c:pt idx="304">
                  <c:v>86.36</c:v>
                </c:pt>
                <c:pt idx="305">
                  <c:v>22.58</c:v>
                </c:pt>
                <c:pt idx="306">
                  <c:v>115.37</c:v>
                </c:pt>
                <c:pt idx="307">
                  <c:v>84.48</c:v>
                </c:pt>
                <c:pt idx="308">
                  <c:v>47.37</c:v>
                </c:pt>
                <c:pt idx="309">
                  <c:v>81.88</c:v>
                </c:pt>
                <c:pt idx="310">
                  <c:v>69.099999999999994</c:v>
                </c:pt>
                <c:pt idx="311">
                  <c:v>53.17</c:v>
                </c:pt>
                <c:pt idx="312">
                  <c:v>58.99</c:v>
                </c:pt>
                <c:pt idx="313">
                  <c:v>49.48</c:v>
                </c:pt>
                <c:pt idx="314">
                  <c:v>53</c:v>
                </c:pt>
                <c:pt idx="315">
                  <c:v>76.27</c:v>
                </c:pt>
                <c:pt idx="316">
                  <c:v>61.26</c:v>
                </c:pt>
                <c:pt idx="317">
                  <c:v>59.62</c:v>
                </c:pt>
                <c:pt idx="318">
                  <c:v>74.09</c:v>
                </c:pt>
                <c:pt idx="319">
                  <c:v>42.69</c:v>
                </c:pt>
                <c:pt idx="320">
                  <c:v>26.77</c:v>
                </c:pt>
                <c:pt idx="321">
                  <c:v>82.31</c:v>
                </c:pt>
                <c:pt idx="322">
                  <c:v>73.25</c:v>
                </c:pt>
                <c:pt idx="323">
                  <c:v>35.58</c:v>
                </c:pt>
                <c:pt idx="324">
                  <c:v>19.02</c:v>
                </c:pt>
                <c:pt idx="325">
                  <c:v>76.37</c:v>
                </c:pt>
                <c:pt idx="326">
                  <c:v>64.69</c:v>
                </c:pt>
                <c:pt idx="327">
                  <c:v>21.73</c:v>
                </c:pt>
                <c:pt idx="328">
                  <c:v>47.3</c:v>
                </c:pt>
                <c:pt idx="329">
                  <c:v>77.92</c:v>
                </c:pt>
                <c:pt idx="330">
                  <c:v>57.95</c:v>
                </c:pt>
                <c:pt idx="331">
                  <c:v>44.29</c:v>
                </c:pt>
                <c:pt idx="332">
                  <c:v>74.44</c:v>
                </c:pt>
                <c:pt idx="333">
                  <c:v>47.5</c:v>
                </c:pt>
                <c:pt idx="334">
                  <c:v>100.72</c:v>
                </c:pt>
                <c:pt idx="335">
                  <c:v>81.53</c:v>
                </c:pt>
                <c:pt idx="336">
                  <c:v>58.17</c:v>
                </c:pt>
                <c:pt idx="337">
                  <c:v>41.23</c:v>
                </c:pt>
                <c:pt idx="338">
                  <c:v>77.319999999999993</c:v>
                </c:pt>
                <c:pt idx="339">
                  <c:v>54.74</c:v>
                </c:pt>
                <c:pt idx="340">
                  <c:v>47.91</c:v>
                </c:pt>
                <c:pt idx="341">
                  <c:v>77.989999999999995</c:v>
                </c:pt>
                <c:pt idx="342">
                  <c:v>44.27</c:v>
                </c:pt>
                <c:pt idx="343">
                  <c:v>91.53</c:v>
                </c:pt>
                <c:pt idx="344">
                  <c:v>40.14</c:v>
                </c:pt>
                <c:pt idx="345">
                  <c:v>62.96</c:v>
                </c:pt>
                <c:pt idx="346">
                  <c:v>76.37</c:v>
                </c:pt>
                <c:pt idx="347">
                  <c:v>85.29</c:v>
                </c:pt>
                <c:pt idx="348">
                  <c:v>42.46</c:v>
                </c:pt>
                <c:pt idx="349">
                  <c:v>34.409999999999997</c:v>
                </c:pt>
                <c:pt idx="350">
                  <c:v>54.71</c:v>
                </c:pt>
                <c:pt idx="351">
                  <c:v>89.08</c:v>
                </c:pt>
                <c:pt idx="352">
                  <c:v>63.91</c:v>
                </c:pt>
                <c:pt idx="353">
                  <c:v>59.17</c:v>
                </c:pt>
                <c:pt idx="354">
                  <c:v>74.739999999999995</c:v>
                </c:pt>
                <c:pt idx="355">
                  <c:v>80.03</c:v>
                </c:pt>
                <c:pt idx="356">
                  <c:v>67.02</c:v>
                </c:pt>
                <c:pt idx="357">
                  <c:v>91.16</c:v>
                </c:pt>
                <c:pt idx="358">
                  <c:v>55.31</c:v>
                </c:pt>
                <c:pt idx="359">
                  <c:v>34.770000000000003</c:v>
                </c:pt>
                <c:pt idx="360">
                  <c:v>24.34</c:v>
                </c:pt>
                <c:pt idx="361">
                  <c:v>89.26</c:v>
                </c:pt>
                <c:pt idx="362">
                  <c:v>44.39</c:v>
                </c:pt>
                <c:pt idx="363">
                  <c:v>28.76</c:v>
                </c:pt>
                <c:pt idx="364">
                  <c:v>84.49</c:v>
                </c:pt>
                <c:pt idx="365">
                  <c:v>52.93</c:v>
                </c:pt>
                <c:pt idx="366">
                  <c:v>87.42</c:v>
                </c:pt>
                <c:pt idx="367">
                  <c:v>51.97</c:v>
                </c:pt>
                <c:pt idx="368">
                  <c:v>67.66</c:v>
                </c:pt>
                <c:pt idx="369">
                  <c:v>47.74</c:v>
                </c:pt>
                <c:pt idx="370">
                  <c:v>70</c:v>
                </c:pt>
                <c:pt idx="371">
                  <c:v>73.02</c:v>
                </c:pt>
                <c:pt idx="372">
                  <c:v>63.52</c:v>
                </c:pt>
                <c:pt idx="373">
                  <c:v>66.16</c:v>
                </c:pt>
                <c:pt idx="374">
                  <c:v>59.31</c:v>
                </c:pt>
                <c:pt idx="375">
                  <c:v>31.57</c:v>
                </c:pt>
                <c:pt idx="376">
                  <c:v>62.46</c:v>
                </c:pt>
                <c:pt idx="377">
                  <c:v>61.19</c:v>
                </c:pt>
                <c:pt idx="378">
                  <c:v>67.12</c:v>
                </c:pt>
                <c:pt idx="379">
                  <c:v>54.51</c:v>
                </c:pt>
                <c:pt idx="380">
                  <c:v>61.02</c:v>
                </c:pt>
                <c:pt idx="381">
                  <c:v>73.69</c:v>
                </c:pt>
                <c:pt idx="382">
                  <c:v>75.75</c:v>
                </c:pt>
                <c:pt idx="383">
                  <c:v>36.51</c:v>
                </c:pt>
                <c:pt idx="384">
                  <c:v>48.4</c:v>
                </c:pt>
                <c:pt idx="385">
                  <c:v>90.42</c:v>
                </c:pt>
                <c:pt idx="386">
                  <c:v>55.94</c:v>
                </c:pt>
                <c:pt idx="387">
                  <c:v>55.42</c:v>
                </c:pt>
                <c:pt idx="388">
                  <c:v>47.98</c:v>
                </c:pt>
                <c:pt idx="389">
                  <c:v>92.83</c:v>
                </c:pt>
                <c:pt idx="390">
                  <c:v>89.18</c:v>
                </c:pt>
                <c:pt idx="391">
                  <c:v>35.03</c:v>
                </c:pt>
                <c:pt idx="392">
                  <c:v>36.72</c:v>
                </c:pt>
                <c:pt idx="393">
                  <c:v>37.83</c:v>
                </c:pt>
                <c:pt idx="394">
                  <c:v>53.57</c:v>
                </c:pt>
                <c:pt idx="395">
                  <c:v>8.69</c:v>
                </c:pt>
                <c:pt idx="396">
                  <c:v>20.309999999999999</c:v>
                </c:pt>
                <c:pt idx="397">
                  <c:v>92.89</c:v>
                </c:pt>
                <c:pt idx="398">
                  <c:v>100.07</c:v>
                </c:pt>
                <c:pt idx="399">
                  <c:v>33.18</c:v>
                </c:pt>
                <c:pt idx="400">
                  <c:v>57.18</c:v>
                </c:pt>
                <c:pt idx="401">
                  <c:v>67.25</c:v>
                </c:pt>
                <c:pt idx="402">
                  <c:v>52.1</c:v>
                </c:pt>
                <c:pt idx="403">
                  <c:v>71.069999999999993</c:v>
                </c:pt>
                <c:pt idx="404">
                  <c:v>76.27</c:v>
                </c:pt>
                <c:pt idx="405">
                  <c:v>45.88</c:v>
                </c:pt>
                <c:pt idx="406">
                  <c:v>80.13</c:v>
                </c:pt>
                <c:pt idx="407">
                  <c:v>58.01</c:v>
                </c:pt>
                <c:pt idx="408">
                  <c:v>50.65</c:v>
                </c:pt>
                <c:pt idx="409">
                  <c:v>82.68</c:v>
                </c:pt>
                <c:pt idx="410">
                  <c:v>56.8</c:v>
                </c:pt>
                <c:pt idx="411">
                  <c:v>43.32</c:v>
                </c:pt>
                <c:pt idx="412">
                  <c:v>68.38</c:v>
                </c:pt>
                <c:pt idx="413">
                  <c:v>33.450000000000003</c:v>
                </c:pt>
                <c:pt idx="414">
                  <c:v>78.83</c:v>
                </c:pt>
                <c:pt idx="415">
                  <c:v>79.989999999999995</c:v>
                </c:pt>
                <c:pt idx="416">
                  <c:v>73.25</c:v>
                </c:pt>
                <c:pt idx="417">
                  <c:v>42.01</c:v>
                </c:pt>
                <c:pt idx="418">
                  <c:v>61.9</c:v>
                </c:pt>
                <c:pt idx="419">
                  <c:v>54.56</c:v>
                </c:pt>
                <c:pt idx="420">
                  <c:v>71.62</c:v>
                </c:pt>
                <c:pt idx="421">
                  <c:v>72.92</c:v>
                </c:pt>
                <c:pt idx="422">
                  <c:v>41.49</c:v>
                </c:pt>
                <c:pt idx="423">
                  <c:v>67.739999999999995</c:v>
                </c:pt>
                <c:pt idx="424">
                  <c:v>43.41</c:v>
                </c:pt>
                <c:pt idx="425">
                  <c:v>42.91</c:v>
                </c:pt>
                <c:pt idx="426">
                  <c:v>66.650000000000006</c:v>
                </c:pt>
                <c:pt idx="427">
                  <c:v>55.63</c:v>
                </c:pt>
                <c:pt idx="428">
                  <c:v>89.46</c:v>
                </c:pt>
                <c:pt idx="429">
                  <c:v>35.75</c:v>
                </c:pt>
                <c:pt idx="430">
                  <c:v>45.03</c:v>
                </c:pt>
                <c:pt idx="431">
                  <c:v>55.21</c:v>
                </c:pt>
                <c:pt idx="432">
                  <c:v>61.81</c:v>
                </c:pt>
                <c:pt idx="433">
                  <c:v>79.67</c:v>
                </c:pt>
                <c:pt idx="434">
                  <c:v>38.86</c:v>
                </c:pt>
                <c:pt idx="435">
                  <c:v>91.39</c:v>
                </c:pt>
                <c:pt idx="436">
                  <c:v>45.65</c:v>
                </c:pt>
                <c:pt idx="437">
                  <c:v>65.02</c:v>
                </c:pt>
                <c:pt idx="438">
                  <c:v>72.510000000000005</c:v>
                </c:pt>
                <c:pt idx="439">
                  <c:v>73.260000000000005</c:v>
                </c:pt>
                <c:pt idx="440">
                  <c:v>20.170000000000002</c:v>
                </c:pt>
                <c:pt idx="441">
                  <c:v>65.19</c:v>
                </c:pt>
                <c:pt idx="442">
                  <c:v>53.4</c:v>
                </c:pt>
                <c:pt idx="443">
                  <c:v>82.07</c:v>
                </c:pt>
                <c:pt idx="444">
                  <c:v>66.72</c:v>
                </c:pt>
                <c:pt idx="445">
                  <c:v>23.31</c:v>
                </c:pt>
                <c:pt idx="446">
                  <c:v>75.430000000000007</c:v>
                </c:pt>
                <c:pt idx="447">
                  <c:v>29.99</c:v>
                </c:pt>
                <c:pt idx="448">
                  <c:v>59.93</c:v>
                </c:pt>
                <c:pt idx="449">
                  <c:v>88.33</c:v>
                </c:pt>
                <c:pt idx="450">
                  <c:v>94.71</c:v>
                </c:pt>
                <c:pt idx="451">
                  <c:v>55.3</c:v>
                </c:pt>
                <c:pt idx="452">
                  <c:v>41.34</c:v>
                </c:pt>
                <c:pt idx="453">
                  <c:v>55.88</c:v>
                </c:pt>
                <c:pt idx="454">
                  <c:v>50.94</c:v>
                </c:pt>
                <c:pt idx="455">
                  <c:v>73.45</c:v>
                </c:pt>
                <c:pt idx="456">
                  <c:v>34.049999999999997</c:v>
                </c:pt>
                <c:pt idx="457">
                  <c:v>61.2</c:v>
                </c:pt>
                <c:pt idx="458">
                  <c:v>75.08</c:v>
                </c:pt>
                <c:pt idx="459">
                  <c:v>71.47</c:v>
                </c:pt>
                <c:pt idx="460">
                  <c:v>56.08</c:v>
                </c:pt>
                <c:pt idx="461">
                  <c:v>70.36</c:v>
                </c:pt>
                <c:pt idx="462">
                  <c:v>92.22</c:v>
                </c:pt>
                <c:pt idx="463">
                  <c:v>85.79</c:v>
                </c:pt>
                <c:pt idx="464">
                  <c:v>58.26</c:v>
                </c:pt>
                <c:pt idx="465">
                  <c:v>50.18</c:v>
                </c:pt>
                <c:pt idx="466">
                  <c:v>60.5</c:v>
                </c:pt>
                <c:pt idx="467">
                  <c:v>50.8</c:v>
                </c:pt>
                <c:pt idx="468">
                  <c:v>54.85</c:v>
                </c:pt>
                <c:pt idx="469">
                  <c:v>36.57</c:v>
                </c:pt>
                <c:pt idx="470">
                  <c:v>81.64</c:v>
                </c:pt>
                <c:pt idx="471">
                  <c:v>67.63</c:v>
                </c:pt>
                <c:pt idx="472">
                  <c:v>38.450000000000003</c:v>
                </c:pt>
                <c:pt idx="473">
                  <c:v>52.4</c:v>
                </c:pt>
                <c:pt idx="474">
                  <c:v>28.16</c:v>
                </c:pt>
                <c:pt idx="475">
                  <c:v>42.26</c:v>
                </c:pt>
                <c:pt idx="476">
                  <c:v>50.33</c:v>
                </c:pt>
                <c:pt idx="477">
                  <c:v>49.8</c:v>
                </c:pt>
                <c:pt idx="478">
                  <c:v>10.96</c:v>
                </c:pt>
                <c:pt idx="479">
                  <c:v>35.53</c:v>
                </c:pt>
                <c:pt idx="480">
                  <c:v>21.98</c:v>
                </c:pt>
                <c:pt idx="481">
                  <c:v>20.84</c:v>
                </c:pt>
                <c:pt idx="482">
                  <c:v>33.97</c:v>
                </c:pt>
                <c:pt idx="483">
                  <c:v>48.18</c:v>
                </c:pt>
                <c:pt idx="484">
                  <c:v>66.959999999999994</c:v>
                </c:pt>
                <c:pt idx="485">
                  <c:v>65.36</c:v>
                </c:pt>
                <c:pt idx="486">
                  <c:v>25.68</c:v>
                </c:pt>
                <c:pt idx="487">
                  <c:v>53.51</c:v>
                </c:pt>
                <c:pt idx="488">
                  <c:v>92.88</c:v>
                </c:pt>
                <c:pt idx="489">
                  <c:v>61.63</c:v>
                </c:pt>
                <c:pt idx="490">
                  <c:v>37.869999999999997</c:v>
                </c:pt>
                <c:pt idx="491">
                  <c:v>24.61</c:v>
                </c:pt>
                <c:pt idx="492">
                  <c:v>40.79</c:v>
                </c:pt>
                <c:pt idx="493">
                  <c:v>94.26</c:v>
                </c:pt>
                <c:pt idx="494">
                  <c:v>84.26</c:v>
                </c:pt>
                <c:pt idx="495">
                  <c:v>77.36</c:v>
                </c:pt>
                <c:pt idx="496">
                  <c:v>40.15</c:v>
                </c:pt>
                <c:pt idx="497">
                  <c:v>36.200000000000003</c:v>
                </c:pt>
                <c:pt idx="498">
                  <c:v>54.49</c:v>
                </c:pt>
                <c:pt idx="499">
                  <c:v>78.58</c:v>
                </c:pt>
                <c:pt idx="500">
                  <c:v>61.28</c:v>
                </c:pt>
                <c:pt idx="501">
                  <c:v>68.12</c:v>
                </c:pt>
                <c:pt idx="502">
                  <c:v>52.07</c:v>
                </c:pt>
                <c:pt idx="503">
                  <c:v>54.93</c:v>
                </c:pt>
                <c:pt idx="504">
                  <c:v>65.84</c:v>
                </c:pt>
                <c:pt idx="505">
                  <c:v>47.22</c:v>
                </c:pt>
                <c:pt idx="506">
                  <c:v>34.47</c:v>
                </c:pt>
                <c:pt idx="507">
                  <c:v>43.55</c:v>
                </c:pt>
                <c:pt idx="508">
                  <c:v>132.72999999999999</c:v>
                </c:pt>
                <c:pt idx="509">
                  <c:v>72.349999999999994</c:v>
                </c:pt>
                <c:pt idx="510">
                  <c:v>62.64</c:v>
                </c:pt>
                <c:pt idx="511">
                  <c:v>67.069999999999993</c:v>
                </c:pt>
                <c:pt idx="512">
                  <c:v>61.5</c:v>
                </c:pt>
                <c:pt idx="513">
                  <c:v>57.83</c:v>
                </c:pt>
                <c:pt idx="514">
                  <c:v>67.23</c:v>
                </c:pt>
                <c:pt idx="515">
                  <c:v>59.23</c:v>
                </c:pt>
                <c:pt idx="516">
                  <c:v>30.81</c:v>
                </c:pt>
                <c:pt idx="517">
                  <c:v>76.7</c:v>
                </c:pt>
                <c:pt idx="518">
                  <c:v>66.56</c:v>
                </c:pt>
                <c:pt idx="519">
                  <c:v>42.13</c:v>
                </c:pt>
                <c:pt idx="520">
                  <c:v>67.87</c:v>
                </c:pt>
                <c:pt idx="521">
                  <c:v>35.26</c:v>
                </c:pt>
                <c:pt idx="522">
                  <c:v>56.39</c:v>
                </c:pt>
                <c:pt idx="523">
                  <c:v>36.21</c:v>
                </c:pt>
                <c:pt idx="524">
                  <c:v>101.92</c:v>
                </c:pt>
                <c:pt idx="525">
                  <c:v>43.75</c:v>
                </c:pt>
                <c:pt idx="526">
                  <c:v>77.45</c:v>
                </c:pt>
                <c:pt idx="527">
                  <c:v>80.31</c:v>
                </c:pt>
                <c:pt idx="528">
                  <c:v>104.75</c:v>
                </c:pt>
                <c:pt idx="529">
                  <c:v>79.25</c:v>
                </c:pt>
                <c:pt idx="530">
                  <c:v>78.2</c:v>
                </c:pt>
                <c:pt idx="531">
                  <c:v>89.07</c:v>
                </c:pt>
                <c:pt idx="532">
                  <c:v>62.98</c:v>
                </c:pt>
                <c:pt idx="533">
                  <c:v>72.78</c:v>
                </c:pt>
                <c:pt idx="534">
                  <c:v>110.48</c:v>
                </c:pt>
                <c:pt idx="535">
                  <c:v>51</c:v>
                </c:pt>
                <c:pt idx="536">
                  <c:v>77.39</c:v>
                </c:pt>
                <c:pt idx="537">
                  <c:v>53.52</c:v>
                </c:pt>
                <c:pt idx="538">
                  <c:v>69.069999999999993</c:v>
                </c:pt>
                <c:pt idx="539">
                  <c:v>87.01</c:v>
                </c:pt>
                <c:pt idx="540">
                  <c:v>31.75</c:v>
                </c:pt>
                <c:pt idx="541">
                  <c:v>70.38</c:v>
                </c:pt>
                <c:pt idx="542">
                  <c:v>55.73</c:v>
                </c:pt>
                <c:pt idx="543">
                  <c:v>52.93</c:v>
                </c:pt>
                <c:pt idx="544">
                  <c:v>59.47</c:v>
                </c:pt>
                <c:pt idx="545">
                  <c:v>51.43</c:v>
                </c:pt>
                <c:pt idx="546">
                  <c:v>63.35</c:v>
                </c:pt>
                <c:pt idx="547">
                  <c:v>44.95</c:v>
                </c:pt>
                <c:pt idx="548">
                  <c:v>70.88</c:v>
                </c:pt>
                <c:pt idx="549">
                  <c:v>61.87</c:v>
                </c:pt>
                <c:pt idx="550">
                  <c:v>36.71</c:v>
                </c:pt>
                <c:pt idx="551">
                  <c:v>47.75</c:v>
                </c:pt>
                <c:pt idx="552">
                  <c:v>60.12</c:v>
                </c:pt>
                <c:pt idx="553">
                  <c:v>57.6</c:v>
                </c:pt>
                <c:pt idx="554">
                  <c:v>42.98</c:v>
                </c:pt>
                <c:pt idx="555">
                  <c:v>83.38</c:v>
                </c:pt>
                <c:pt idx="556">
                  <c:v>71.98</c:v>
                </c:pt>
                <c:pt idx="557">
                  <c:v>25.28</c:v>
                </c:pt>
                <c:pt idx="558">
                  <c:v>31.1</c:v>
                </c:pt>
                <c:pt idx="559">
                  <c:v>19.010000000000002</c:v>
                </c:pt>
                <c:pt idx="560">
                  <c:v>21.99</c:v>
                </c:pt>
                <c:pt idx="561">
                  <c:v>18.28</c:v>
                </c:pt>
                <c:pt idx="562">
                  <c:v>38.9</c:v>
                </c:pt>
                <c:pt idx="563">
                  <c:v>51.98</c:v>
                </c:pt>
                <c:pt idx="564">
                  <c:v>39.54</c:v>
                </c:pt>
                <c:pt idx="565">
                  <c:v>30.68</c:v>
                </c:pt>
                <c:pt idx="566">
                  <c:v>43.26</c:v>
                </c:pt>
                <c:pt idx="567">
                  <c:v>14</c:v>
                </c:pt>
                <c:pt idx="568">
                  <c:v>32.700000000000003</c:v>
                </c:pt>
                <c:pt idx="569">
                  <c:v>33.03</c:v>
                </c:pt>
                <c:pt idx="570">
                  <c:v>31.37</c:v>
                </c:pt>
                <c:pt idx="571">
                  <c:v>34.97</c:v>
                </c:pt>
                <c:pt idx="572">
                  <c:v>63</c:v>
                </c:pt>
                <c:pt idx="573">
                  <c:v>51.99</c:v>
                </c:pt>
                <c:pt idx="574">
                  <c:v>67.260000000000005</c:v>
                </c:pt>
                <c:pt idx="575">
                  <c:v>48.57</c:v>
                </c:pt>
                <c:pt idx="576">
                  <c:v>48.14</c:v>
                </c:pt>
                <c:pt idx="577">
                  <c:v>34.53</c:v>
                </c:pt>
                <c:pt idx="578">
                  <c:v>11.95</c:v>
                </c:pt>
                <c:pt idx="579">
                  <c:v>16.579999999999998</c:v>
                </c:pt>
                <c:pt idx="580">
                  <c:v>50.34</c:v>
                </c:pt>
                <c:pt idx="581">
                  <c:v>44.87</c:v>
                </c:pt>
                <c:pt idx="582">
                  <c:v>6.97</c:v>
                </c:pt>
                <c:pt idx="583">
                  <c:v>30.33</c:v>
                </c:pt>
                <c:pt idx="584">
                  <c:v>42.51</c:v>
                </c:pt>
                <c:pt idx="585">
                  <c:v>29.17</c:v>
                </c:pt>
                <c:pt idx="586">
                  <c:v>31.65</c:v>
                </c:pt>
                <c:pt idx="587">
                  <c:v>58.89</c:v>
                </c:pt>
                <c:pt idx="588">
                  <c:v>22.47</c:v>
                </c:pt>
                <c:pt idx="589">
                  <c:v>9.8000000000000007</c:v>
                </c:pt>
                <c:pt idx="590">
                  <c:v>23.33</c:v>
                </c:pt>
                <c:pt idx="591">
                  <c:v>23.5</c:v>
                </c:pt>
                <c:pt idx="592">
                  <c:v>18.52</c:v>
                </c:pt>
                <c:pt idx="593">
                  <c:v>41.24</c:v>
                </c:pt>
                <c:pt idx="594">
                  <c:v>43.28</c:v>
                </c:pt>
                <c:pt idx="595">
                  <c:v>28.32</c:v>
                </c:pt>
                <c:pt idx="596">
                  <c:v>26.05</c:v>
                </c:pt>
                <c:pt idx="597">
                  <c:v>50.93</c:v>
                </c:pt>
                <c:pt idx="598">
                  <c:v>22.59</c:v>
                </c:pt>
                <c:pt idx="599">
                  <c:v>35.11</c:v>
                </c:pt>
                <c:pt idx="600">
                  <c:v>11.14</c:v>
                </c:pt>
                <c:pt idx="601">
                  <c:v>43.17</c:v>
                </c:pt>
                <c:pt idx="602">
                  <c:v>12.65</c:v>
                </c:pt>
                <c:pt idx="603">
                  <c:v>27.84</c:v>
                </c:pt>
                <c:pt idx="604">
                  <c:v>38.61</c:v>
                </c:pt>
                <c:pt idx="605">
                  <c:v>17.32</c:v>
                </c:pt>
                <c:pt idx="606">
                  <c:v>22.81</c:v>
                </c:pt>
                <c:pt idx="607">
                  <c:v>87.75</c:v>
                </c:pt>
                <c:pt idx="608">
                  <c:v>95.73</c:v>
                </c:pt>
                <c:pt idx="609">
                  <c:v>110.81</c:v>
                </c:pt>
                <c:pt idx="610">
                  <c:v>120.86</c:v>
                </c:pt>
                <c:pt idx="611">
                  <c:v>51.82</c:v>
                </c:pt>
                <c:pt idx="612">
                  <c:v>88.57</c:v>
                </c:pt>
                <c:pt idx="613">
                  <c:v>82.02</c:v>
                </c:pt>
                <c:pt idx="614">
                  <c:v>105.61</c:v>
                </c:pt>
                <c:pt idx="615">
                  <c:v>83.86</c:v>
                </c:pt>
                <c:pt idx="616">
                  <c:v>90.89</c:v>
                </c:pt>
                <c:pt idx="617">
                  <c:v>89.68</c:v>
                </c:pt>
                <c:pt idx="618">
                  <c:v>103.09</c:v>
                </c:pt>
                <c:pt idx="619">
                  <c:v>105.6</c:v>
                </c:pt>
                <c:pt idx="620">
                  <c:v>99.6</c:v>
                </c:pt>
                <c:pt idx="621">
                  <c:v>95.17</c:v>
                </c:pt>
                <c:pt idx="622">
                  <c:v>57.01</c:v>
                </c:pt>
                <c:pt idx="623">
                  <c:v>78.2</c:v>
                </c:pt>
                <c:pt idx="624">
                  <c:v>103.88</c:v>
                </c:pt>
                <c:pt idx="625">
                  <c:v>83.21</c:v>
                </c:pt>
                <c:pt idx="626">
                  <c:v>114.96</c:v>
                </c:pt>
                <c:pt idx="627">
                  <c:v>79.23</c:v>
                </c:pt>
                <c:pt idx="628">
                  <c:v>45.79</c:v>
                </c:pt>
                <c:pt idx="629">
                  <c:v>56.37</c:v>
                </c:pt>
                <c:pt idx="630">
                  <c:v>91.79</c:v>
                </c:pt>
                <c:pt idx="631">
                  <c:v>85.37</c:v>
                </c:pt>
                <c:pt idx="632">
                  <c:v>96.74</c:v>
                </c:pt>
                <c:pt idx="633">
                  <c:v>88.16</c:v>
                </c:pt>
                <c:pt idx="634">
                  <c:v>109.42</c:v>
                </c:pt>
                <c:pt idx="635">
                  <c:v>74.97</c:v>
                </c:pt>
                <c:pt idx="636">
                  <c:v>100.82</c:v>
                </c:pt>
                <c:pt idx="637">
                  <c:v>63.32</c:v>
                </c:pt>
                <c:pt idx="638">
                  <c:v>92.43</c:v>
                </c:pt>
                <c:pt idx="639">
                  <c:v>92.08</c:v>
                </c:pt>
                <c:pt idx="640">
                  <c:v>93.63</c:v>
                </c:pt>
                <c:pt idx="641">
                  <c:v>98.34</c:v>
                </c:pt>
                <c:pt idx="642">
                  <c:v>87.63</c:v>
                </c:pt>
                <c:pt idx="643">
                  <c:v>64.5</c:v>
                </c:pt>
                <c:pt idx="644">
                  <c:v>80</c:v>
                </c:pt>
                <c:pt idx="645">
                  <c:v>99.73</c:v>
                </c:pt>
                <c:pt idx="646">
                  <c:v>89.49</c:v>
                </c:pt>
                <c:pt idx="647">
                  <c:v>95.39</c:v>
                </c:pt>
                <c:pt idx="648">
                  <c:v>94.07</c:v>
                </c:pt>
                <c:pt idx="649">
                  <c:v>99.72</c:v>
                </c:pt>
                <c:pt idx="650">
                  <c:v>77.13</c:v>
                </c:pt>
                <c:pt idx="651">
                  <c:v>67.31</c:v>
                </c:pt>
                <c:pt idx="652">
                  <c:v>118.49</c:v>
                </c:pt>
                <c:pt idx="653">
                  <c:v>67.2</c:v>
                </c:pt>
                <c:pt idx="654">
                  <c:v>100.55</c:v>
                </c:pt>
                <c:pt idx="655">
                  <c:v>79.36</c:v>
                </c:pt>
                <c:pt idx="656">
                  <c:v>90.66</c:v>
                </c:pt>
                <c:pt idx="657">
                  <c:v>36.58</c:v>
                </c:pt>
                <c:pt idx="658">
                  <c:v>108.17</c:v>
                </c:pt>
                <c:pt idx="659">
                  <c:v>103.65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F6-4265-B2E9-FF8E06FF9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555599"/>
        <c:axId val="1199556015"/>
      </c:scatterChart>
      <c:valAx>
        <c:axId val="1199555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9556015"/>
        <c:crosses val="autoZero"/>
        <c:crossBetween val="midCat"/>
      </c:valAx>
      <c:valAx>
        <c:axId val="119955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9555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fr-FR" baseline="0"/>
              <a:t>Chiffre d'affaire total par catégorie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299759405074364"/>
          <c:y val="0.15316793826492306"/>
          <c:w val="0.78533573928258971"/>
          <c:h val="0.73577136191309422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'CA par Catégorie'!$B$6</c:f>
              <c:strCache>
                <c:ptCount val="1"/>
                <c:pt idx="0">
                  <c:v>biens de conso.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'CA par Catégorie'!$C$4:$J$4</c15:sqref>
                  </c15:fullRef>
                </c:ext>
              </c:extLst>
              <c:f>'CA par Catégorie'!$J$4</c:f>
              <c:strCache>
                <c:ptCount val="1"/>
                <c:pt idx="0">
                  <c:v>TOTAL 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 par Catégorie'!$C$6:$J$6</c15:sqref>
                  </c15:fullRef>
                </c:ext>
              </c:extLst>
              <c:f>'CA par Catégorie'!$J$6</c:f>
              <c:numCache>
                <c:formatCode>_-* #\ ##0.00\ "€"_-;\-* #\ ##0.00\ "€"_-;_-* "-"??\ "€"_-;_-@</c:formatCode>
                <c:ptCount val="1"/>
                <c:pt idx="0" formatCode="_(&quot;€&quot;* #,##0.00_);_(&quot;€&quot;* \(#,##0.00\);_(&quot;€&quot;* &quot;-&quot;??_);_(@_)">
                  <c:v>79290.899999999994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82-4068-B660-20C27A6F474B}"/>
            </c:ext>
          </c:extLst>
        </c:ser>
        <c:ser>
          <c:idx val="2"/>
          <c:order val="2"/>
          <c:tx>
            <c:strRef>
              <c:f>'CA par Catégorie'!$B$7</c:f>
              <c:strCache>
                <c:ptCount val="1"/>
                <c:pt idx="0">
                  <c:v>nourriture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'CA par Catégorie'!$C$4:$J$4</c15:sqref>
                  </c15:fullRef>
                </c:ext>
              </c:extLst>
              <c:f>'CA par Catégorie'!$J$4</c:f>
              <c:strCache>
                <c:ptCount val="1"/>
                <c:pt idx="0">
                  <c:v>TOTAL 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 par Catégorie'!$C$7:$J$7</c15:sqref>
                  </c15:fullRef>
                </c:ext>
              </c:extLst>
              <c:f>'CA par Catégorie'!$J$7</c:f>
              <c:numCache>
                <c:formatCode>_-* #\ ##0.00\ "€"_-;\-* #\ ##0.00\ "€"_-;_-* "-"??\ "€"_-;_-@</c:formatCode>
                <c:ptCount val="1"/>
                <c:pt idx="0" formatCode="_(&quot;€&quot;* #,##0.00_);_(&quot;€&quot;* \(#,##0.00\);_(&quot;€&quot;* &quot;-&quot;??_);_(@_)">
                  <c:v>107400.82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82-4068-B660-20C27A6F474B}"/>
            </c:ext>
          </c:extLst>
        </c:ser>
        <c:ser>
          <c:idx val="3"/>
          <c:order val="3"/>
          <c:tx>
            <c:strRef>
              <c:f>'CA par Catégorie'!$B$8</c:f>
              <c:strCache>
                <c:ptCount val="1"/>
                <c:pt idx="0">
                  <c:v>high tech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'CA par Catégorie'!$C$4:$J$4</c15:sqref>
                  </c15:fullRef>
                </c:ext>
              </c:extLst>
              <c:f>'CA par Catégorie'!$J$4</c:f>
              <c:strCache>
                <c:ptCount val="1"/>
                <c:pt idx="0">
                  <c:v>TOTAL 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 par Catégorie'!$C$8:$J$8</c15:sqref>
                  </c15:fullRef>
                </c:ext>
              </c:extLst>
              <c:f>'CA par Catégorie'!$J$8</c:f>
              <c:numCache>
                <c:formatCode>_-* #\ ##0.00\ "€"_-;\-* #\ ##0.00\ "€"_-;_-* "-"??\ "€"_-;_-@</c:formatCode>
                <c:ptCount val="1"/>
                <c:pt idx="0" formatCode="_(&quot;€&quot;* #,##0.00_);_(&quot;€&quot;* \(#,##0.00\);_(&quot;€&quot;* &quot;-&quot;??_);_(@_)">
                  <c:v>18055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82-4068-B660-20C27A6F474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606093583"/>
        <c:axId val="606094415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'CA par Catégorie'!$B$5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'CA par Catégorie'!$C$4:$J$4</c15:sqref>
                        </c15:fullRef>
                        <c15:formulaRef>
                          <c15:sqref>'CA par Catégorie'!$J$4</c15:sqref>
                        </c15:formulaRef>
                      </c:ext>
                    </c:extLst>
                    <c:strCache>
                      <c:ptCount val="1"/>
                      <c:pt idx="0">
                        <c:v>TOTAL 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'CA par Catégorie'!$C$5:$J$5</c15:sqref>
                        </c15:fullRef>
                        <c15:formulaRef>
                          <c15:sqref>'CA par Catégorie'!$J$5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C082-4068-B660-20C27A6F474B}"/>
                  </c:ext>
                </c:extLst>
              </c15:ser>
            </c15:filteredBarSeries>
          </c:ext>
        </c:extLst>
      </c:barChart>
      <c:catAx>
        <c:axId val="606093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6094415"/>
        <c:crosses val="autoZero"/>
        <c:auto val="1"/>
        <c:lblAlgn val="ctr"/>
        <c:lblOffset val="100"/>
        <c:noMultiLvlLbl val="0"/>
      </c:catAx>
      <c:valAx>
        <c:axId val="60609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&quot;€&quot;_-;\-* #\ ##0.00\ &quot;€&quot;_-;_-* &quot;-&quot;??\ &quot;€&quot;_-;_-@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6093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70341207349081"/>
          <c:y val="0.27805890671648303"/>
          <c:w val="0.20140769903762029"/>
          <c:h val="0.224502679958796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chiffre</a:t>
            </a:r>
            <a:r>
              <a:rPr lang="fr-FR" baseline="0"/>
              <a:t> d'affaire</a:t>
            </a:r>
            <a:r>
              <a:rPr lang="fr-FR"/>
              <a:t> par catégorie</a:t>
            </a:r>
          </a:p>
          <a:p>
            <a:pPr>
              <a:defRPr/>
            </a:pP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Bien de conso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'evolution CA x catégorie'!$C$4:$H$4</c:f>
              <c:strCache>
                <c:ptCount val="6"/>
                <c:pt idx="0">
                  <c:v>SEPT</c:v>
                </c:pt>
                <c:pt idx="1">
                  <c:v>OCT</c:v>
                </c:pt>
                <c:pt idx="2">
                  <c:v>NOV</c:v>
                </c:pt>
                <c:pt idx="3">
                  <c:v>DEC</c:v>
                </c:pt>
                <c:pt idx="4">
                  <c:v>JAN</c:v>
                </c:pt>
                <c:pt idx="5">
                  <c:v>FEV</c:v>
                </c:pt>
              </c:strCache>
            </c:strRef>
          </c:cat>
          <c:val>
            <c:numRef>
              <c:f>'evolution CA x catégorie'!$C$6:$H$6</c:f>
              <c:numCache>
                <c:formatCode>_-* #\ ##0.00\ "€"_-;\-* #\ ##0.00\ "€"_-;_-* "-"??\ "€"_-;_-@</c:formatCode>
                <c:ptCount val="6"/>
                <c:pt idx="0">
                  <c:v>10543</c:v>
                </c:pt>
                <c:pt idx="1">
                  <c:v>11458</c:v>
                </c:pt>
                <c:pt idx="2">
                  <c:v>13520</c:v>
                </c:pt>
                <c:pt idx="3">
                  <c:v>14023</c:v>
                </c:pt>
                <c:pt idx="4">
                  <c:v>14983</c:v>
                </c:pt>
                <c:pt idx="5">
                  <c:v>14763.9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D6-46BE-AE4C-229029D1B225}"/>
            </c:ext>
          </c:extLst>
        </c:ser>
        <c:ser>
          <c:idx val="2"/>
          <c:order val="2"/>
          <c:tx>
            <c:v>Nourriture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'evolution CA x catégorie'!$C$4:$H$4</c:f>
              <c:strCache>
                <c:ptCount val="6"/>
                <c:pt idx="0">
                  <c:v>SEPT</c:v>
                </c:pt>
                <c:pt idx="1">
                  <c:v>OCT</c:v>
                </c:pt>
                <c:pt idx="2">
                  <c:v>NOV</c:v>
                </c:pt>
                <c:pt idx="3">
                  <c:v>DEC</c:v>
                </c:pt>
                <c:pt idx="4">
                  <c:v>JAN</c:v>
                </c:pt>
                <c:pt idx="5">
                  <c:v>FEV</c:v>
                </c:pt>
              </c:strCache>
            </c:strRef>
          </c:cat>
          <c:val>
            <c:numRef>
              <c:f>'evolution CA x catégorie'!$C$7:$H$7</c:f>
              <c:numCache>
                <c:formatCode>_-* #\ ##0.00\ "€"_-;\-* #\ ##0.00\ "€"_-;_-* "-"??\ "€"_-;_-@</c:formatCode>
                <c:ptCount val="6"/>
                <c:pt idx="0">
                  <c:v>13855</c:v>
                </c:pt>
                <c:pt idx="1">
                  <c:v>16052</c:v>
                </c:pt>
                <c:pt idx="2">
                  <c:v>16797</c:v>
                </c:pt>
                <c:pt idx="3">
                  <c:v>17582</c:v>
                </c:pt>
                <c:pt idx="4">
                  <c:v>18216</c:v>
                </c:pt>
                <c:pt idx="5">
                  <c:v>24898.82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D6-46BE-AE4C-229029D1B225}"/>
            </c:ext>
          </c:extLst>
        </c:ser>
        <c:ser>
          <c:idx val="3"/>
          <c:order val="3"/>
          <c:tx>
            <c:v>Hight tech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'evolution CA x catégorie'!$C$4:$H$4</c:f>
              <c:strCache>
                <c:ptCount val="6"/>
                <c:pt idx="0">
                  <c:v>SEPT</c:v>
                </c:pt>
                <c:pt idx="1">
                  <c:v>OCT</c:v>
                </c:pt>
                <c:pt idx="2">
                  <c:v>NOV</c:v>
                </c:pt>
                <c:pt idx="3">
                  <c:v>DEC</c:v>
                </c:pt>
                <c:pt idx="4">
                  <c:v>JAN</c:v>
                </c:pt>
                <c:pt idx="5">
                  <c:v>FEV</c:v>
                </c:pt>
              </c:strCache>
            </c:strRef>
          </c:cat>
          <c:val>
            <c:numRef>
              <c:f>'evolution CA x catégorie'!$C$8:$H$8</c:f>
              <c:numCache>
                <c:formatCode>_-* #\ ##0.00\ "€"_-;\-* #\ ##0.00\ "€"_-;_-* "-"??\ "€"_-;_-@</c:formatCode>
                <c:ptCount val="6"/>
                <c:pt idx="0">
                  <c:v>3002</c:v>
                </c:pt>
                <c:pt idx="1">
                  <c:v>3769</c:v>
                </c:pt>
                <c:pt idx="2">
                  <c:v>4230</c:v>
                </c:pt>
                <c:pt idx="3">
                  <c:v>4341</c:v>
                </c:pt>
                <c:pt idx="4">
                  <c:v>2713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D6-46BE-AE4C-229029D1B2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5525759"/>
        <c:axId val="465526175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'evolution CA x catégorie'!$C$4:$H$4</c15:sqref>
                        </c15:formulaRef>
                      </c:ext>
                    </c:extLst>
                    <c:strCache>
                      <c:ptCount val="6"/>
                      <c:pt idx="0">
                        <c:v>SEPT</c:v>
                      </c:pt>
                      <c:pt idx="1">
                        <c:v>OCT</c:v>
                      </c:pt>
                      <c:pt idx="2">
                        <c:v>NOV</c:v>
                      </c:pt>
                      <c:pt idx="3">
                        <c:v>DEC</c:v>
                      </c:pt>
                      <c:pt idx="4">
                        <c:v>JAN</c:v>
                      </c:pt>
                      <c:pt idx="5">
                        <c:v>FEV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'evolution CA x catégorie'!$C$5:$H$5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74D6-46BE-AE4C-229029D1B225}"/>
                  </c:ext>
                </c:extLst>
              </c15:ser>
            </c15:filteredBarSeries>
          </c:ext>
        </c:extLst>
      </c:barChart>
      <c:catAx>
        <c:axId val="465525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5526175"/>
        <c:crosses val="autoZero"/>
        <c:auto val="1"/>
        <c:lblAlgn val="ctr"/>
        <c:lblOffset val="100"/>
        <c:noMultiLvlLbl val="0"/>
      </c:catAx>
      <c:valAx>
        <c:axId val="46552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&quot;€&quot;_-;\-* #\ ##0.00\ &quot;€&quot;_-;_-* &quot;-&quot;??\ &quot;€&quot;_-;_-@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5525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15875</xdr:colOff>
      <xdr:row>3</xdr:row>
      <xdr:rowOff>12700</xdr:rowOff>
    </xdr:from>
    <xdr:to>
      <xdr:col>10</xdr:col>
      <xdr:colOff>466725</xdr:colOff>
      <xdr:row>17</xdr:row>
      <xdr:rowOff>177800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3D5501E-6A69-4B3D-8545-3C47B3A994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205928</xdr:colOff>
      <xdr:row>12</xdr:row>
      <xdr:rowOff>55701</xdr:rowOff>
    </xdr:from>
    <xdr:to>
      <xdr:col>11</xdr:col>
      <xdr:colOff>144826</xdr:colOff>
      <xdr:row>33</xdr:row>
      <xdr:rowOff>179693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7F9B8A27-BFD3-419A-92DE-AD79F627D7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1134087</xdr:colOff>
      <xdr:row>12</xdr:row>
      <xdr:rowOff>155964</xdr:rowOff>
    </xdr:from>
    <xdr:to>
      <xdr:col>13</xdr:col>
      <xdr:colOff>22282</xdr:colOff>
      <xdr:row>35</xdr:row>
      <xdr:rowOff>29746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C02177F-A433-358A-2804-5F4097DFD5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4" xr16:uid="{6FEFA377-BCC0-411D-9107-6D6865A6EE3D}" autoFormatId="16" applyNumberFormats="0" applyBorderFormats="0" applyFontFormats="0" applyPatternFormats="0" applyAlignmentFormats="0" applyWidthHeightFormats="0">
  <queryTableRefresh nextId="6">
    <queryTableFields count="4">
      <queryTableField id="1" name="ID client" tableColumnId="1"/>
      <queryTableField id="2" name="Temps d'achat" tableColumnId="2"/>
      <queryTableField id="3" name="Montant" tableColumnId="3"/>
      <queryTableField id="4" name="Categorie" tableColumnId="4"/>
    </queryTableFields>
    <queryTableDeletedFields count="1">
      <deletedField name="Colonne1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connectionId="3" xr16:uid="{FEBA2AF5-89AE-4B25-AE57-D3914AA2232B}" autoFormatId="16" applyNumberFormats="0" applyBorderFormats="0" applyFontFormats="0" applyPatternFormats="0" applyAlignmentFormats="0" applyWidthHeightFormats="0">
  <queryTableRefresh nextId="6">
    <queryTableFields count="4">
      <queryTableField id="1" name="ID client" tableColumnId="1"/>
      <queryTableField id="2" name="Temps d'achat" tableColumnId="2"/>
      <queryTableField id="3" name="Montant" tableColumnId="3"/>
      <queryTableField id="4" name="Categorie" tableColumnId="4"/>
    </queryTableFields>
    <queryTableDeletedFields count="1">
      <deletedField name="Colonne1"/>
    </queryTableDeleted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D69F54-626A-4366-8B66-E51447CC5865}" name="Table_15" displayName="Table_15" ref="A1:D658">
  <tableColumns count="4">
    <tableColumn id="1" xr3:uid="{C843EFEE-85A3-42E2-A71A-24DB25C1F821}" name="ID client"/>
    <tableColumn id="2" xr3:uid="{1BB0784F-FAD3-4F69-A3CB-B2C3CEA69FDE}" name="Temps d'achat"/>
    <tableColumn id="3" xr3:uid="{C0305DD6-002C-42E6-B20D-4AED5DAB85D7}" name="Montant"/>
    <tableColumn id="4" xr3:uid="{A7E825BC-137B-4547-93B4-42B41B4ABB7B}" name="Categorie"/>
  </tableColumns>
  <tableStyleInfo name="DATA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8CD4BB1-4588-4020-81D9-E16C0B3A1D20}" name="Table_16" displayName="Table_16" ref="A1:D658">
  <tableColumns count="4">
    <tableColumn id="1" xr3:uid="{03B565B0-71CD-46D0-AF7B-D2A1AA3721CD}" name="ID client"/>
    <tableColumn id="2" xr3:uid="{DFF178F8-3B82-4E46-A1CD-06668E4369EF}" name="Temps d'achat"/>
    <tableColumn id="3" xr3:uid="{FAF84B29-72C2-4243-9767-3751CBD45503}" name="Montant"/>
    <tableColumn id="4" xr3:uid="{5B45659A-8FDB-4E2C-9CA7-FF9DE2BD8325}" name="Categorie"/>
  </tableColumns>
  <tableStyleInfo name="DATA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1A5A50D-73AE-4890-9FC0-BD4A80A5AED4}" name="Clienst_x_Cégorie_nourriture" displayName="Clienst_x_Cégorie_nourriture" ref="A1:D414" tableType="queryTable" totalsRowShown="0">
  <autoFilter ref="A1:D414" xr:uid="{01A5A50D-73AE-4890-9FC0-BD4A80A5AED4}"/>
  <tableColumns count="4">
    <tableColumn id="1" xr3:uid="{EEAA3B7F-606B-42C2-8D7F-8D6026E303A2}" uniqueName="1" name="ID client" queryTableFieldId="1"/>
    <tableColumn id="2" xr3:uid="{48445EB8-87BD-4D62-B916-D8254E6B41C0}" uniqueName="2" name="Temps d'achat" queryTableFieldId="2"/>
    <tableColumn id="3" xr3:uid="{7ED9F346-4C99-4E24-85C6-53D1C3E7B507}" uniqueName="3" name="Montant" queryTableFieldId="3"/>
    <tableColumn id="4" xr3:uid="{DC10E9D1-0E93-457D-8C05-1FFC331DF68A}" uniqueName="4" name="Categorie" queryTableFieldId="4" dataDxf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9CA0B3-FA7D-4AB9-A4B8-8073275FE4B3}" name="Clienst_x_Cégorie_bien_de_conso2" displayName="Clienst_x_Cégorie_bien_de_conso2" ref="N1:Q248" tableType="queryTable" totalsRowShown="0">
  <autoFilter ref="N1:Q248" xr:uid="{509CA0B3-FA7D-4AB9-A4B8-8073275FE4B3}"/>
  <tableColumns count="4">
    <tableColumn id="1" xr3:uid="{BE9BF04E-DEC2-4197-BFD1-BFE78A7E127B}" uniqueName="1" name="ID client" queryTableFieldId="1"/>
    <tableColumn id="2" xr3:uid="{1A62E591-B4FD-4A75-A45E-14167CE6ECD4}" uniqueName="2" name="Temps d'achat" queryTableFieldId="2"/>
    <tableColumn id="3" xr3:uid="{24A23B6C-D284-4BF4-B8F2-5A17FB3BD4D8}" uniqueName="3" name="Montant" queryTableFieldId="3"/>
    <tableColumn id="4" xr3:uid="{ABA52393-36A6-4F0A-BC32-AED92F1B536D}" uniqueName="4" name="Categorie" queryTableFieldId="4" dataDxfId="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AF71024-E567-4B32-BB42-3C3ABB0975E9}" name="Tableau7" displayName="Tableau7" ref="H1:L67" totalsRowShown="0" headerRowDxfId="6" headerRowBorderDxfId="5" tableBorderDxfId="4">
  <autoFilter ref="H1:L67" xr:uid="{1AF71024-E567-4B32-BB42-3C3ABB0975E9}"/>
  <tableColumns count="5">
    <tableColumn id="1" xr3:uid="{B443F894-9575-4EEA-90A4-87FC61B118EA}" name="ID client" dataDxfId="3"/>
    <tableColumn id="2" xr3:uid="{831D3404-7807-4A5C-88E1-C13997F602B0}" name="Nb achat client" dataDxfId="2"/>
    <tableColumn id="3" xr3:uid="{807B10D6-1F6B-49E9-A29C-2868B65B2ED7}" name="CA nourriture" dataDxfId="1"/>
    <tableColumn id="4" xr3:uid="{A34E8DAC-2B15-41ED-94AE-72014CF26C8D}" name="CA Bien Conso"/>
    <tableColumn id="5" xr3:uid="{280DBB2B-A7FC-455B-B84E-1A94EBF40791}" name="CA tot client" dataDxfId="0">
      <calculatedColumnFormula>SUM(J2:K2)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A3CE-EAD2-4F48-A81F-5840154BBCAF}">
  <sheetPr codeName="Feuil3"/>
  <dimension ref="A1:M661"/>
  <sheetViews>
    <sheetView workbookViewId="0">
      <selection activeCell="G2" sqref="G2"/>
    </sheetView>
  </sheetViews>
  <sheetFormatPr baseColWidth="10" defaultRowHeight="14.5" x14ac:dyDescent="0.35"/>
  <cols>
    <col min="1" max="1" width="10.453125" customWidth="1"/>
    <col min="2" max="2" width="12.81640625" bestFit="1" customWidth="1"/>
    <col min="3" max="3" width="11.1796875" customWidth="1"/>
    <col min="4" max="4" width="13" customWidth="1"/>
    <col min="7" max="7" width="15.54296875" customWidth="1"/>
    <col min="8" max="8" width="17.1796875" customWidth="1"/>
    <col min="9" max="9" width="15.36328125" customWidth="1"/>
    <col min="13" max="13" width="10.90625" customWidth="1"/>
  </cols>
  <sheetData>
    <row r="1" spans="1:13" x14ac:dyDescent="0.35">
      <c r="A1" s="36" t="s">
        <v>18</v>
      </c>
      <c r="B1" s="37" t="s">
        <v>19</v>
      </c>
      <c r="C1" s="38" t="s">
        <v>20</v>
      </c>
      <c r="D1" s="36" t="s">
        <v>21</v>
      </c>
      <c r="G1" t="s">
        <v>32</v>
      </c>
      <c r="H1" t="s">
        <v>23</v>
      </c>
      <c r="I1" t="s">
        <v>24</v>
      </c>
      <c r="J1" t="s">
        <v>25</v>
      </c>
      <c r="K1" t="s">
        <v>26</v>
      </c>
    </row>
    <row r="2" spans="1:13" x14ac:dyDescent="0.35">
      <c r="A2" s="39">
        <v>16</v>
      </c>
      <c r="B2" s="40">
        <v>5.22</v>
      </c>
      <c r="C2" s="41">
        <v>48.26</v>
      </c>
      <c r="D2" s="42" t="s">
        <v>22</v>
      </c>
      <c r="G2" s="47">
        <f>Table_15[[#This Row],[Montant]]+C3</f>
        <v>103.72</v>
      </c>
      <c r="H2" t="b">
        <f>Table_15[[#This Row],[Temps d''achat]]&gt;9.3</f>
        <v>0</v>
      </c>
      <c r="I2" t="b">
        <f>Table_15[[#This Row],[Temps d''achat]]&lt;4</f>
        <v>0</v>
      </c>
      <c r="J2">
        <f>COUNTIF(H2:H661,TRUE)</f>
        <v>103</v>
      </c>
      <c r="K2">
        <f>COUNTIF(I2:I661,TRUE)</f>
        <v>47</v>
      </c>
      <c r="L2" s="54"/>
      <c r="M2" s="54"/>
    </row>
    <row r="3" spans="1:13" x14ac:dyDescent="0.35">
      <c r="A3" s="43">
        <v>52</v>
      </c>
      <c r="B3" s="44">
        <v>6.17</v>
      </c>
      <c r="C3" s="45">
        <v>55.46</v>
      </c>
      <c r="D3" s="46" t="s">
        <v>22</v>
      </c>
      <c r="G3" s="47">
        <f>G2+C4</f>
        <v>156.92000000000002</v>
      </c>
      <c r="H3" t="b">
        <f>Table_15[[#This Row],[Temps d''achat]]&gt;9.3</f>
        <v>0</v>
      </c>
      <c r="I3" t="b">
        <f>Table_15[[#This Row],[Temps d''achat]]&lt;4</f>
        <v>0</v>
      </c>
    </row>
    <row r="4" spans="1:13" x14ac:dyDescent="0.35">
      <c r="A4" s="39">
        <v>58</v>
      </c>
      <c r="B4" s="40">
        <v>5.36</v>
      </c>
      <c r="C4" s="41">
        <v>53.2</v>
      </c>
      <c r="D4" s="42" t="s">
        <v>22</v>
      </c>
      <c r="G4" s="47">
        <f>G3+C5</f>
        <v>204.53000000000003</v>
      </c>
      <c r="H4" t="b">
        <f>Table_15[[#This Row],[Temps d''achat]]&gt;9.3</f>
        <v>0</v>
      </c>
      <c r="I4" t="b">
        <f>Table_15[[#This Row],[Temps d''achat]]&lt;4</f>
        <v>0</v>
      </c>
    </row>
    <row r="5" spans="1:13" x14ac:dyDescent="0.35">
      <c r="A5" s="43">
        <v>11</v>
      </c>
      <c r="B5" s="44">
        <v>5.46</v>
      </c>
      <c r="C5" s="45">
        <v>47.61</v>
      </c>
      <c r="D5" s="46" t="s">
        <v>22</v>
      </c>
      <c r="G5" s="47">
        <f t="shared" ref="G5:G68" si="0">G4+C6</f>
        <v>286.10000000000002</v>
      </c>
      <c r="H5" t="b">
        <f>Table_15[[#This Row],[Temps d''achat]]&gt;9.3</f>
        <v>0</v>
      </c>
      <c r="I5" t="b">
        <f>Table_15[[#This Row],[Temps d''achat]]&lt;4</f>
        <v>0</v>
      </c>
    </row>
    <row r="6" spans="1:13" x14ac:dyDescent="0.35">
      <c r="A6" s="39">
        <v>25</v>
      </c>
      <c r="B6" s="40">
        <v>9.77</v>
      </c>
      <c r="C6" s="52">
        <v>81.569999999999993</v>
      </c>
      <c r="D6" s="42" t="s">
        <v>22</v>
      </c>
      <c r="G6" s="47">
        <f t="shared" si="0"/>
        <v>349.6</v>
      </c>
      <c r="H6" t="b">
        <f>Table_15[[#This Row],[Temps d''achat]]&gt;9.3</f>
        <v>1</v>
      </c>
      <c r="I6" t="b">
        <f>Table_15[[#This Row],[Temps d''achat]]&lt;4</f>
        <v>0</v>
      </c>
    </row>
    <row r="7" spans="1:13" x14ac:dyDescent="0.35">
      <c r="A7" s="43">
        <v>40</v>
      </c>
      <c r="B7" s="44">
        <v>6.96</v>
      </c>
      <c r="C7" s="45">
        <v>63.5</v>
      </c>
      <c r="D7" s="46" t="s">
        <v>22</v>
      </c>
      <c r="G7" s="47">
        <f t="shared" si="0"/>
        <v>395.77000000000004</v>
      </c>
      <c r="H7" t="b">
        <f>Table_15[[#This Row],[Temps d''achat]]&gt;9.3</f>
        <v>0</v>
      </c>
      <c r="I7" t="b">
        <f>Table_15[[#This Row],[Temps d''achat]]&lt;4</f>
        <v>0</v>
      </c>
    </row>
    <row r="8" spans="1:13" x14ac:dyDescent="0.35">
      <c r="A8" s="39">
        <v>8</v>
      </c>
      <c r="B8" s="40">
        <v>5.64</v>
      </c>
      <c r="C8" s="41">
        <v>46.17</v>
      </c>
      <c r="D8" s="42" t="s">
        <v>22</v>
      </c>
      <c r="G8" s="47">
        <f t="shared" si="0"/>
        <v>442.67</v>
      </c>
      <c r="H8" t="b">
        <f>Table_15[[#This Row],[Temps d''achat]]&gt;9.3</f>
        <v>0</v>
      </c>
      <c r="I8" t="b">
        <f>Table_15[[#This Row],[Temps d''achat]]&lt;4</f>
        <v>0</v>
      </c>
    </row>
    <row r="9" spans="1:13" x14ac:dyDescent="0.35">
      <c r="A9" s="43">
        <v>1</v>
      </c>
      <c r="B9" s="44">
        <v>4.5599999999999996</v>
      </c>
      <c r="C9" s="45">
        <v>46.9</v>
      </c>
      <c r="D9" s="46" t="s">
        <v>22</v>
      </c>
      <c r="G9" s="47">
        <f>G8+C10</f>
        <v>482.66</v>
      </c>
      <c r="H9" t="b">
        <f>Table_15[[#This Row],[Temps d''achat]]&gt;9.3</f>
        <v>0</v>
      </c>
      <c r="I9" t="b">
        <f>Table_15[[#This Row],[Temps d''achat]]&lt;4</f>
        <v>0</v>
      </c>
    </row>
    <row r="10" spans="1:13" x14ac:dyDescent="0.35">
      <c r="A10" s="39">
        <v>36</v>
      </c>
      <c r="B10" s="40">
        <v>5.2</v>
      </c>
      <c r="C10" s="41">
        <v>39.99</v>
      </c>
      <c r="D10" s="42" t="s">
        <v>22</v>
      </c>
      <c r="G10" s="47">
        <f t="shared" si="0"/>
        <v>541.51</v>
      </c>
      <c r="H10" t="b">
        <f>Table_15[[#This Row],[Temps d''achat]]&gt;9.3</f>
        <v>0</v>
      </c>
      <c r="I10" t="b">
        <f>Table_15[[#This Row],[Temps d''achat]]&lt;4</f>
        <v>0</v>
      </c>
    </row>
    <row r="11" spans="1:13" x14ac:dyDescent="0.35">
      <c r="A11" s="43">
        <v>14</v>
      </c>
      <c r="B11" s="44">
        <v>6.28</v>
      </c>
      <c r="C11" s="45">
        <v>58.85</v>
      </c>
      <c r="D11" s="46" t="s">
        <v>22</v>
      </c>
      <c r="G11" s="47">
        <f t="shared" si="0"/>
        <v>596.91999999999996</v>
      </c>
      <c r="H11" t="b">
        <f>Table_15[[#This Row],[Temps d''achat]]&gt;9.3</f>
        <v>0</v>
      </c>
      <c r="I11" t="b">
        <f>Table_15[[#This Row],[Temps d''achat]]&lt;4</f>
        <v>0</v>
      </c>
    </row>
    <row r="12" spans="1:13" x14ac:dyDescent="0.35">
      <c r="A12" s="39">
        <v>17</v>
      </c>
      <c r="B12" s="40">
        <v>6.06</v>
      </c>
      <c r="C12" s="41">
        <v>55.41</v>
      </c>
      <c r="D12" s="42" t="s">
        <v>22</v>
      </c>
      <c r="G12" s="47">
        <f t="shared" si="0"/>
        <v>661.53</v>
      </c>
      <c r="H12" t="b">
        <f>Table_15[[#This Row],[Temps d''achat]]&gt;9.3</f>
        <v>0</v>
      </c>
      <c r="I12" t="b">
        <f>Table_15[[#This Row],[Temps d''achat]]&lt;4</f>
        <v>0</v>
      </c>
    </row>
    <row r="13" spans="1:13" x14ac:dyDescent="0.35">
      <c r="A13" s="43">
        <v>19</v>
      </c>
      <c r="B13" s="44">
        <v>6.57</v>
      </c>
      <c r="C13" s="45">
        <v>64.61</v>
      </c>
      <c r="D13" s="46" t="s">
        <v>22</v>
      </c>
      <c r="G13" s="47">
        <f t="shared" si="0"/>
        <v>707.28</v>
      </c>
      <c r="H13" t="b">
        <f>Table_15[[#This Row],[Temps d''achat]]&gt;9.3</f>
        <v>0</v>
      </c>
      <c r="I13" t="b">
        <f>Table_15[[#This Row],[Temps d''achat]]&lt;4</f>
        <v>0</v>
      </c>
    </row>
    <row r="14" spans="1:13" x14ac:dyDescent="0.35">
      <c r="A14" s="39">
        <v>36</v>
      </c>
      <c r="B14" s="40">
        <v>4.24</v>
      </c>
      <c r="C14" s="41">
        <v>45.75</v>
      </c>
      <c r="D14" s="42" t="s">
        <v>22</v>
      </c>
      <c r="G14" s="47">
        <f t="shared" si="0"/>
        <v>781.18999999999994</v>
      </c>
      <c r="H14" t="b">
        <f>Table_15[[#This Row],[Temps d''achat]]&gt;9.3</f>
        <v>0</v>
      </c>
      <c r="I14" t="b">
        <f>Table_15[[#This Row],[Temps d''achat]]&lt;4</f>
        <v>0</v>
      </c>
    </row>
    <row r="15" spans="1:13" x14ac:dyDescent="0.35">
      <c r="A15" s="43">
        <v>45</v>
      </c>
      <c r="B15" s="44">
        <v>8.7100000000000009</v>
      </c>
      <c r="C15" s="45">
        <v>73.91</v>
      </c>
      <c r="D15" s="46" t="s">
        <v>22</v>
      </c>
      <c r="G15" s="47">
        <f t="shared" si="0"/>
        <v>832.52</v>
      </c>
      <c r="H15" t="b">
        <f>Table_15[[#This Row],[Temps d''achat]]&gt;9.3</f>
        <v>0</v>
      </c>
      <c r="I15" t="b">
        <f>Table_15[[#This Row],[Temps d''achat]]&lt;4</f>
        <v>0</v>
      </c>
    </row>
    <row r="16" spans="1:13" x14ac:dyDescent="0.35">
      <c r="A16" s="39">
        <v>3</v>
      </c>
      <c r="B16" s="40">
        <v>6.22</v>
      </c>
      <c r="C16" s="41">
        <v>51.33</v>
      </c>
      <c r="D16" s="42" t="s">
        <v>22</v>
      </c>
      <c r="G16" s="47">
        <f t="shared" si="0"/>
        <v>882.13</v>
      </c>
      <c r="H16" t="b">
        <f>Table_15[[#This Row],[Temps d''achat]]&gt;9.3</f>
        <v>0</v>
      </c>
      <c r="I16" t="b">
        <f>Table_15[[#This Row],[Temps d''achat]]&lt;4</f>
        <v>0</v>
      </c>
    </row>
    <row r="17" spans="1:9" x14ac:dyDescent="0.35">
      <c r="A17" s="43">
        <v>39</v>
      </c>
      <c r="B17" s="44">
        <v>5.47</v>
      </c>
      <c r="C17" s="45">
        <v>49.61</v>
      </c>
      <c r="D17" s="46" t="s">
        <v>22</v>
      </c>
      <c r="G17" s="47">
        <f t="shared" si="0"/>
        <v>965.86</v>
      </c>
      <c r="H17" t="b">
        <f>Table_15[[#This Row],[Temps d''achat]]&gt;9.3</f>
        <v>0</v>
      </c>
      <c r="I17" t="b">
        <f>Table_15[[#This Row],[Temps d''achat]]&lt;4</f>
        <v>0</v>
      </c>
    </row>
    <row r="18" spans="1:9" x14ac:dyDescent="0.35">
      <c r="A18" s="39">
        <v>15</v>
      </c>
      <c r="B18" s="40">
        <v>9.98</v>
      </c>
      <c r="C18" s="52">
        <v>83.73</v>
      </c>
      <c r="D18" s="42" t="s">
        <v>22</v>
      </c>
      <c r="G18" s="47">
        <f t="shared" si="0"/>
        <v>1010.49</v>
      </c>
      <c r="H18" t="b">
        <f>Table_15[[#This Row],[Temps d''achat]]&gt;9.3</f>
        <v>1</v>
      </c>
      <c r="I18" t="b">
        <f>Table_15[[#This Row],[Temps d''achat]]&lt;4</f>
        <v>0</v>
      </c>
    </row>
    <row r="19" spans="1:9" x14ac:dyDescent="0.35">
      <c r="A19" s="43">
        <v>28</v>
      </c>
      <c r="B19" s="44">
        <v>5.39</v>
      </c>
      <c r="C19" s="45">
        <v>44.63</v>
      </c>
      <c r="D19" s="46" t="s">
        <v>22</v>
      </c>
      <c r="G19" s="47">
        <f t="shared" si="0"/>
        <v>1091.48</v>
      </c>
      <c r="H19" t="b">
        <f>Table_15[[#This Row],[Temps d''achat]]&gt;9.3</f>
        <v>0</v>
      </c>
      <c r="I19" t="b">
        <f>Table_15[[#This Row],[Temps d''achat]]&lt;4</f>
        <v>0</v>
      </c>
    </row>
    <row r="20" spans="1:9" x14ac:dyDescent="0.35">
      <c r="A20" s="39">
        <v>7</v>
      </c>
      <c r="B20" s="40">
        <v>9.9499999999999993</v>
      </c>
      <c r="C20" s="52">
        <v>80.989999999999995</v>
      </c>
      <c r="D20" s="42" t="s">
        <v>22</v>
      </c>
      <c r="G20" s="47">
        <f t="shared" si="0"/>
        <v>1165.72</v>
      </c>
      <c r="H20" t="b">
        <f>Table_15[[#This Row],[Temps d''achat]]&gt;9.3</f>
        <v>1</v>
      </c>
      <c r="I20" t="b">
        <f>Table_15[[#This Row],[Temps d''achat]]&lt;4</f>
        <v>0</v>
      </c>
    </row>
    <row r="21" spans="1:9" x14ac:dyDescent="0.35">
      <c r="A21" s="43">
        <v>41</v>
      </c>
      <c r="B21" s="44">
        <v>9.23</v>
      </c>
      <c r="C21" s="45">
        <v>74.239999999999995</v>
      </c>
      <c r="D21" s="46" t="s">
        <v>22</v>
      </c>
      <c r="G21" s="47">
        <f t="shared" si="0"/>
        <v>1238.44</v>
      </c>
      <c r="H21" t="b">
        <f>Table_15[[#This Row],[Temps d''achat]]&gt;9.3</f>
        <v>0</v>
      </c>
      <c r="I21" t="b">
        <f>Table_15[[#This Row],[Temps d''achat]]&lt;4</f>
        <v>0</v>
      </c>
    </row>
    <row r="22" spans="1:9" x14ac:dyDescent="0.35">
      <c r="A22" s="39">
        <v>18</v>
      </c>
      <c r="B22" s="40">
        <v>8.39</v>
      </c>
      <c r="C22" s="41">
        <v>72.72</v>
      </c>
      <c r="D22" s="42" t="s">
        <v>22</v>
      </c>
      <c r="G22" s="47">
        <f t="shared" si="0"/>
        <v>1283.04</v>
      </c>
      <c r="H22" t="b">
        <f>Table_15[[#This Row],[Temps d''achat]]&gt;9.3</f>
        <v>0</v>
      </c>
      <c r="I22" t="b">
        <f>Table_15[[#This Row],[Temps d''achat]]&lt;4</f>
        <v>0</v>
      </c>
    </row>
    <row r="23" spans="1:9" x14ac:dyDescent="0.35">
      <c r="A23" s="43">
        <v>23</v>
      </c>
      <c r="B23" s="44">
        <v>5.41</v>
      </c>
      <c r="C23" s="45">
        <v>44.6</v>
      </c>
      <c r="D23" s="46" t="s">
        <v>22</v>
      </c>
      <c r="G23" s="47">
        <f t="shared" si="0"/>
        <v>1340.2</v>
      </c>
      <c r="H23" t="b">
        <f>Table_15[[#This Row],[Temps d''achat]]&gt;9.3</f>
        <v>0</v>
      </c>
      <c r="I23" t="b">
        <f>Table_15[[#This Row],[Temps d''achat]]&lt;4</f>
        <v>0</v>
      </c>
    </row>
    <row r="24" spans="1:9" x14ac:dyDescent="0.35">
      <c r="A24" s="39">
        <v>7</v>
      </c>
      <c r="B24" s="40">
        <v>7.45</v>
      </c>
      <c r="C24" s="41">
        <v>57.16</v>
      </c>
      <c r="D24" s="42" t="s">
        <v>22</v>
      </c>
      <c r="G24" s="47">
        <f t="shared" si="0"/>
        <v>1381.79</v>
      </c>
      <c r="H24" t="b">
        <f>Table_15[[#This Row],[Temps d''achat]]&gt;9.3</f>
        <v>0</v>
      </c>
      <c r="I24" t="b">
        <f>Table_15[[#This Row],[Temps d''achat]]&lt;4</f>
        <v>0</v>
      </c>
    </row>
    <row r="25" spans="1:9" x14ac:dyDescent="0.35">
      <c r="A25" s="43">
        <v>43</v>
      </c>
      <c r="B25" s="44">
        <v>5.03</v>
      </c>
      <c r="C25" s="45">
        <v>41.59</v>
      </c>
      <c r="D25" s="46" t="s">
        <v>22</v>
      </c>
      <c r="G25" s="47">
        <f t="shared" si="0"/>
        <v>1434.3999999999999</v>
      </c>
      <c r="H25" t="b">
        <f>Table_15[[#This Row],[Temps d''achat]]&gt;9.3</f>
        <v>0</v>
      </c>
      <c r="I25" t="b">
        <f>Table_15[[#This Row],[Temps d''achat]]&lt;4</f>
        <v>0</v>
      </c>
    </row>
    <row r="26" spans="1:9" x14ac:dyDescent="0.35">
      <c r="A26" s="39">
        <v>14</v>
      </c>
      <c r="B26" s="40">
        <v>5.15</v>
      </c>
      <c r="C26" s="41">
        <v>52.61</v>
      </c>
      <c r="D26" s="42" t="s">
        <v>22</v>
      </c>
      <c r="G26" s="47">
        <f t="shared" si="0"/>
        <v>1489.35</v>
      </c>
      <c r="H26" t="b">
        <f>Table_15[[#This Row],[Temps d''achat]]&gt;9.3</f>
        <v>0</v>
      </c>
      <c r="I26" t="b">
        <f>Table_15[[#This Row],[Temps d''achat]]&lt;4</f>
        <v>0</v>
      </c>
    </row>
    <row r="27" spans="1:9" x14ac:dyDescent="0.35">
      <c r="A27" s="43">
        <v>7</v>
      </c>
      <c r="B27" s="44">
        <v>6.43</v>
      </c>
      <c r="C27" s="45">
        <v>54.95</v>
      </c>
      <c r="D27" s="46" t="s">
        <v>22</v>
      </c>
      <c r="G27" s="47">
        <f t="shared" si="0"/>
        <v>1561.79</v>
      </c>
      <c r="H27" t="b">
        <f>Table_15[[#This Row],[Temps d''achat]]&gt;9.3</f>
        <v>0</v>
      </c>
      <c r="I27" t="b">
        <f>Table_15[[#This Row],[Temps d''achat]]&lt;4</f>
        <v>0</v>
      </c>
    </row>
    <row r="28" spans="1:9" x14ac:dyDescent="0.35">
      <c r="A28" s="39">
        <v>39</v>
      </c>
      <c r="B28" s="40">
        <v>8.93</v>
      </c>
      <c r="C28" s="41">
        <v>72.44</v>
      </c>
      <c r="D28" s="42" t="s">
        <v>22</v>
      </c>
      <c r="G28" s="47">
        <f t="shared" si="0"/>
        <v>1630.7</v>
      </c>
      <c r="H28" t="b">
        <f>Table_15[[#This Row],[Temps d''achat]]&gt;9.3</f>
        <v>0</v>
      </c>
      <c r="I28" t="b">
        <f>Table_15[[#This Row],[Temps d''achat]]&lt;4</f>
        <v>0</v>
      </c>
    </row>
    <row r="29" spans="1:9" x14ac:dyDescent="0.35">
      <c r="A29" s="43">
        <v>12</v>
      </c>
      <c r="B29" s="44">
        <v>8.44</v>
      </c>
      <c r="C29" s="45">
        <v>68.91</v>
      </c>
      <c r="D29" s="46" t="s">
        <v>22</v>
      </c>
      <c r="G29" s="47">
        <f t="shared" si="0"/>
        <v>1707.8500000000001</v>
      </c>
      <c r="H29" t="b">
        <f>Table_15[[#This Row],[Temps d''achat]]&gt;9.3</f>
        <v>0</v>
      </c>
      <c r="I29" t="b">
        <f>Table_15[[#This Row],[Temps d''achat]]&lt;4</f>
        <v>0</v>
      </c>
    </row>
    <row r="30" spans="1:9" x14ac:dyDescent="0.35">
      <c r="A30" s="39">
        <v>31</v>
      </c>
      <c r="B30" s="40">
        <v>8.92</v>
      </c>
      <c r="C30" s="41">
        <v>77.150000000000006</v>
      </c>
      <c r="D30" s="42" t="s">
        <v>22</v>
      </c>
      <c r="G30" s="47">
        <f t="shared" si="0"/>
        <v>1752.2500000000002</v>
      </c>
      <c r="H30" t="b">
        <f>Table_15[[#This Row],[Temps d''achat]]&gt;9.3</f>
        <v>0</v>
      </c>
      <c r="I30" t="b">
        <f>Table_15[[#This Row],[Temps d''achat]]&lt;4</f>
        <v>0</v>
      </c>
    </row>
    <row r="31" spans="1:9" x14ac:dyDescent="0.35">
      <c r="A31" s="43">
        <v>29</v>
      </c>
      <c r="B31" s="44">
        <v>5.47</v>
      </c>
      <c r="C31" s="45">
        <v>44.4</v>
      </c>
      <c r="D31" s="46" t="s">
        <v>22</v>
      </c>
      <c r="G31" s="47">
        <f t="shared" si="0"/>
        <v>1815.1800000000003</v>
      </c>
      <c r="H31" t="b">
        <f>Table_15[[#This Row],[Temps d''achat]]&gt;9.3</f>
        <v>0</v>
      </c>
      <c r="I31" t="b">
        <f>Table_15[[#This Row],[Temps d''achat]]&lt;4</f>
        <v>0</v>
      </c>
    </row>
    <row r="32" spans="1:9" x14ac:dyDescent="0.35">
      <c r="A32" s="39">
        <v>5</v>
      </c>
      <c r="B32" s="40">
        <v>7.28</v>
      </c>
      <c r="C32" s="41">
        <v>62.93</v>
      </c>
      <c r="D32" s="42" t="s">
        <v>22</v>
      </c>
      <c r="G32" s="47">
        <f t="shared" si="0"/>
        <v>1852.6400000000003</v>
      </c>
      <c r="H32" t="b">
        <f>Table_15[[#This Row],[Temps d''achat]]&gt;9.3</f>
        <v>0</v>
      </c>
      <c r="I32" t="b">
        <f>Table_15[[#This Row],[Temps d''achat]]&lt;4</f>
        <v>0</v>
      </c>
    </row>
    <row r="33" spans="1:9" x14ac:dyDescent="0.35">
      <c r="A33" s="43">
        <v>1</v>
      </c>
      <c r="B33" s="44">
        <v>4.84</v>
      </c>
      <c r="C33" s="45">
        <v>37.46</v>
      </c>
      <c r="D33" s="46" t="s">
        <v>22</v>
      </c>
      <c r="G33" s="47">
        <f t="shared" si="0"/>
        <v>1926.3900000000003</v>
      </c>
      <c r="H33" t="b">
        <f>Table_15[[#This Row],[Temps d''achat]]&gt;9.3</f>
        <v>0</v>
      </c>
      <c r="I33" t="b">
        <f>Table_15[[#This Row],[Temps d''achat]]&lt;4</f>
        <v>0</v>
      </c>
    </row>
    <row r="34" spans="1:9" x14ac:dyDescent="0.35">
      <c r="A34" s="39">
        <v>28</v>
      </c>
      <c r="B34" s="40">
        <v>7.6</v>
      </c>
      <c r="C34" s="41">
        <v>73.75</v>
      </c>
      <c r="D34" s="42" t="s">
        <v>22</v>
      </c>
      <c r="G34" s="47">
        <f t="shared" si="0"/>
        <v>1993.5400000000004</v>
      </c>
      <c r="H34" t="b">
        <f>Table_15[[#This Row],[Temps d''achat]]&gt;9.3</f>
        <v>0</v>
      </c>
      <c r="I34" t="b">
        <f>Table_15[[#This Row],[Temps d''achat]]&lt;4</f>
        <v>0</v>
      </c>
    </row>
    <row r="35" spans="1:9" x14ac:dyDescent="0.35">
      <c r="A35" s="43">
        <v>35</v>
      </c>
      <c r="B35" s="44">
        <v>9.07</v>
      </c>
      <c r="C35" s="45">
        <v>67.150000000000006</v>
      </c>
      <c r="D35" s="46" t="s">
        <v>22</v>
      </c>
      <c r="G35" s="47">
        <f t="shared" si="0"/>
        <v>2070.9400000000005</v>
      </c>
      <c r="H35" t="b">
        <f>Table_15[[#This Row],[Temps d''achat]]&gt;9.3</f>
        <v>0</v>
      </c>
      <c r="I35" t="b">
        <f>Table_15[[#This Row],[Temps d''achat]]&lt;4</f>
        <v>0</v>
      </c>
    </row>
    <row r="36" spans="1:9" x14ac:dyDescent="0.35">
      <c r="A36" s="39">
        <v>62</v>
      </c>
      <c r="B36" s="40">
        <v>9.91</v>
      </c>
      <c r="C36" s="52">
        <v>77.400000000000006</v>
      </c>
      <c r="D36" s="42" t="s">
        <v>22</v>
      </c>
      <c r="G36" s="47">
        <f t="shared" si="0"/>
        <v>2134.4500000000007</v>
      </c>
      <c r="H36" t="b">
        <f>Table_15[[#This Row],[Temps d''achat]]&gt;9.3</f>
        <v>1</v>
      </c>
      <c r="I36" t="b">
        <f>Table_15[[#This Row],[Temps d''achat]]&lt;4</f>
        <v>0</v>
      </c>
    </row>
    <row r="37" spans="1:9" x14ac:dyDescent="0.35">
      <c r="A37" s="43">
        <v>31</v>
      </c>
      <c r="B37" s="44">
        <v>6.38</v>
      </c>
      <c r="C37" s="45">
        <v>63.51</v>
      </c>
      <c r="D37" s="46" t="s">
        <v>22</v>
      </c>
      <c r="G37" s="47">
        <f t="shared" si="0"/>
        <v>2185.5900000000006</v>
      </c>
      <c r="H37" t="b">
        <f>Table_15[[#This Row],[Temps d''achat]]&gt;9.3</f>
        <v>0</v>
      </c>
      <c r="I37" t="b">
        <f>Table_15[[#This Row],[Temps d''achat]]&lt;4</f>
        <v>0</v>
      </c>
    </row>
    <row r="38" spans="1:9" x14ac:dyDescent="0.35">
      <c r="A38" s="39">
        <v>3</v>
      </c>
      <c r="B38" s="40">
        <v>5.63</v>
      </c>
      <c r="C38" s="41">
        <v>51.14</v>
      </c>
      <c r="D38" s="42" t="s">
        <v>22</v>
      </c>
      <c r="G38" s="47">
        <f t="shared" si="0"/>
        <v>2256.2000000000007</v>
      </c>
      <c r="H38" t="b">
        <f>Table_15[[#This Row],[Temps d''achat]]&gt;9.3</f>
        <v>0</v>
      </c>
      <c r="I38" t="b">
        <f>Table_15[[#This Row],[Temps d''achat]]&lt;4</f>
        <v>0</v>
      </c>
    </row>
    <row r="39" spans="1:9" x14ac:dyDescent="0.35">
      <c r="A39" s="43">
        <v>53</v>
      </c>
      <c r="B39" s="44">
        <v>8.7200000000000006</v>
      </c>
      <c r="C39" s="45">
        <v>70.61</v>
      </c>
      <c r="D39" s="46" t="s">
        <v>22</v>
      </c>
      <c r="G39" s="47">
        <f t="shared" si="0"/>
        <v>2300.4300000000007</v>
      </c>
      <c r="H39" t="b">
        <f>Table_15[[#This Row],[Temps d''achat]]&gt;9.3</f>
        <v>0</v>
      </c>
      <c r="I39" t="b">
        <f>Table_15[[#This Row],[Temps d''achat]]&lt;4</f>
        <v>0</v>
      </c>
    </row>
    <row r="40" spans="1:9" x14ac:dyDescent="0.35">
      <c r="A40" s="39">
        <v>31</v>
      </c>
      <c r="B40" s="40">
        <v>4.55</v>
      </c>
      <c r="C40" s="41">
        <v>44.23</v>
      </c>
      <c r="D40" s="42" t="s">
        <v>22</v>
      </c>
      <c r="G40" s="47">
        <f t="shared" si="0"/>
        <v>2351.2600000000007</v>
      </c>
      <c r="H40" t="b">
        <f>Table_15[[#This Row],[Temps d''achat]]&gt;9.3</f>
        <v>0</v>
      </c>
      <c r="I40" t="b">
        <f>Table_15[[#This Row],[Temps d''achat]]&lt;4</f>
        <v>0</v>
      </c>
    </row>
    <row r="41" spans="1:9" x14ac:dyDescent="0.35">
      <c r="A41" s="43">
        <v>31</v>
      </c>
      <c r="B41" s="44">
        <v>6.55</v>
      </c>
      <c r="C41" s="45">
        <v>50.83</v>
      </c>
      <c r="D41" s="46" t="s">
        <v>22</v>
      </c>
      <c r="G41" s="47">
        <f t="shared" si="0"/>
        <v>2397.0900000000006</v>
      </c>
      <c r="H41" t="b">
        <f>Table_15[[#This Row],[Temps d''achat]]&gt;9.3</f>
        <v>0</v>
      </c>
      <c r="I41" t="b">
        <f>Table_15[[#This Row],[Temps d''achat]]&lt;4</f>
        <v>0</v>
      </c>
    </row>
    <row r="42" spans="1:9" x14ac:dyDescent="0.35">
      <c r="A42" s="39">
        <v>22</v>
      </c>
      <c r="B42" s="40">
        <v>4.1500000000000004</v>
      </c>
      <c r="C42" s="41">
        <v>45.83</v>
      </c>
      <c r="D42" s="42" t="s">
        <v>22</v>
      </c>
      <c r="G42" s="47">
        <f t="shared" si="0"/>
        <v>2442.7500000000005</v>
      </c>
      <c r="H42" t="b">
        <f>Table_15[[#This Row],[Temps d''achat]]&gt;9.3</f>
        <v>0</v>
      </c>
      <c r="I42" t="b">
        <f>Table_15[[#This Row],[Temps d''achat]]&lt;4</f>
        <v>0</v>
      </c>
    </row>
    <row r="43" spans="1:9" x14ac:dyDescent="0.35">
      <c r="A43" s="43">
        <v>20</v>
      </c>
      <c r="B43" s="44">
        <v>6.41</v>
      </c>
      <c r="C43" s="45">
        <v>45.66</v>
      </c>
      <c r="D43" s="46" t="s">
        <v>22</v>
      </c>
      <c r="G43" s="47">
        <f t="shared" si="0"/>
        <v>2497.3200000000006</v>
      </c>
      <c r="H43" t="b">
        <f>Table_15[[#This Row],[Temps d''achat]]&gt;9.3</f>
        <v>0</v>
      </c>
      <c r="I43" t="b">
        <f>Table_15[[#This Row],[Temps d''achat]]&lt;4</f>
        <v>0</v>
      </c>
    </row>
    <row r="44" spans="1:9" x14ac:dyDescent="0.35">
      <c r="A44" s="39">
        <v>42</v>
      </c>
      <c r="B44" s="40">
        <v>7.52</v>
      </c>
      <c r="C44" s="41">
        <v>54.57</v>
      </c>
      <c r="D44" s="42" t="s">
        <v>22</v>
      </c>
      <c r="G44" s="47">
        <f t="shared" si="0"/>
        <v>2553.6800000000007</v>
      </c>
      <c r="H44" t="b">
        <f>Table_15[[#This Row],[Temps d''achat]]&gt;9.3</f>
        <v>0</v>
      </c>
      <c r="I44" t="b">
        <f>Table_15[[#This Row],[Temps d''achat]]&lt;4</f>
        <v>0</v>
      </c>
    </row>
    <row r="45" spans="1:9" x14ac:dyDescent="0.35">
      <c r="A45" s="43">
        <v>16</v>
      </c>
      <c r="B45" s="44">
        <v>5.91</v>
      </c>
      <c r="C45" s="45">
        <v>56.36</v>
      </c>
      <c r="D45" s="46" t="s">
        <v>22</v>
      </c>
      <c r="G45" s="47">
        <f t="shared" si="0"/>
        <v>2617.7000000000007</v>
      </c>
      <c r="H45" t="b">
        <f>Table_15[[#This Row],[Temps d''achat]]&gt;9.3</f>
        <v>0</v>
      </c>
      <c r="I45" t="b">
        <f>Table_15[[#This Row],[Temps d''achat]]&lt;4</f>
        <v>0</v>
      </c>
    </row>
    <row r="46" spans="1:9" x14ac:dyDescent="0.35">
      <c r="A46" s="39">
        <v>20</v>
      </c>
      <c r="B46" s="40">
        <v>8.31</v>
      </c>
      <c r="C46" s="41">
        <v>64.02</v>
      </c>
      <c r="D46" s="42" t="s">
        <v>22</v>
      </c>
      <c r="G46" s="47">
        <f t="shared" si="0"/>
        <v>2688.8500000000008</v>
      </c>
      <c r="H46" t="b">
        <f>Table_15[[#This Row],[Temps d''achat]]&gt;9.3</f>
        <v>0</v>
      </c>
      <c r="I46" t="b">
        <f>Table_15[[#This Row],[Temps d''achat]]&lt;4</f>
        <v>0</v>
      </c>
    </row>
    <row r="47" spans="1:9" x14ac:dyDescent="0.35">
      <c r="A47" s="43">
        <v>15</v>
      </c>
      <c r="B47" s="44">
        <v>9.59</v>
      </c>
      <c r="C47" s="53">
        <v>71.150000000000006</v>
      </c>
      <c r="D47" s="46" t="s">
        <v>22</v>
      </c>
      <c r="G47" s="47">
        <f t="shared" si="0"/>
        <v>2735.1800000000007</v>
      </c>
      <c r="H47" t="b">
        <f>Table_15[[#This Row],[Temps d''achat]]&gt;9.3</f>
        <v>1</v>
      </c>
      <c r="I47" t="b">
        <f>Table_15[[#This Row],[Temps d''achat]]&lt;4</f>
        <v>0</v>
      </c>
    </row>
    <row r="48" spans="1:9" x14ac:dyDescent="0.35">
      <c r="A48" s="39">
        <v>35</v>
      </c>
      <c r="B48" s="40">
        <v>4.88</v>
      </c>
      <c r="C48" s="41">
        <v>46.33</v>
      </c>
      <c r="D48" s="42" t="s">
        <v>22</v>
      </c>
      <c r="G48" s="47">
        <f t="shared" si="0"/>
        <v>2787.2600000000007</v>
      </c>
      <c r="H48" t="b">
        <f>Table_15[[#This Row],[Temps d''achat]]&gt;9.3</f>
        <v>0</v>
      </c>
      <c r="I48" t="b">
        <f>Table_15[[#This Row],[Temps d''achat]]&lt;4</f>
        <v>0</v>
      </c>
    </row>
    <row r="49" spans="1:9" x14ac:dyDescent="0.35">
      <c r="A49" s="43">
        <v>28</v>
      </c>
      <c r="B49" s="44">
        <v>7.21</v>
      </c>
      <c r="C49" s="45">
        <v>52.08</v>
      </c>
      <c r="D49" s="46" t="s">
        <v>22</v>
      </c>
      <c r="G49" s="47">
        <f t="shared" si="0"/>
        <v>2867.4200000000005</v>
      </c>
      <c r="H49" t="b">
        <f>Table_15[[#This Row],[Temps d''achat]]&gt;9.3</f>
        <v>0</v>
      </c>
      <c r="I49" t="b">
        <f>Table_15[[#This Row],[Temps d''achat]]&lt;4</f>
        <v>0</v>
      </c>
    </row>
    <row r="50" spans="1:9" x14ac:dyDescent="0.35">
      <c r="A50" s="39">
        <v>46</v>
      </c>
      <c r="B50" s="40">
        <v>9.93</v>
      </c>
      <c r="C50" s="52">
        <v>80.16</v>
      </c>
      <c r="D50" s="42" t="s">
        <v>22</v>
      </c>
      <c r="G50" s="47">
        <f t="shared" si="0"/>
        <v>2946.9700000000007</v>
      </c>
      <c r="H50" t="b">
        <f>Table_15[[#This Row],[Temps d''achat]]&gt;9.3</f>
        <v>1</v>
      </c>
      <c r="I50" t="b">
        <f>Table_15[[#This Row],[Temps d''achat]]&lt;4</f>
        <v>0</v>
      </c>
    </row>
    <row r="51" spans="1:9" x14ac:dyDescent="0.35">
      <c r="A51" s="43">
        <v>31</v>
      </c>
      <c r="B51" s="44">
        <v>9.6</v>
      </c>
      <c r="C51" s="53">
        <v>79.55</v>
      </c>
      <c r="D51" s="46" t="s">
        <v>22</v>
      </c>
      <c r="G51" s="47">
        <f t="shared" si="0"/>
        <v>3025.2400000000007</v>
      </c>
      <c r="H51" t="b">
        <f>Table_15[[#This Row],[Temps d''achat]]&gt;9.3</f>
        <v>1</v>
      </c>
      <c r="I51" t="b">
        <f>Table_15[[#This Row],[Temps d''achat]]&lt;4</f>
        <v>0</v>
      </c>
    </row>
    <row r="52" spans="1:9" x14ac:dyDescent="0.35">
      <c r="A52" s="39">
        <v>29</v>
      </c>
      <c r="B52" s="40">
        <v>9.02</v>
      </c>
      <c r="C52" s="41">
        <v>78.27</v>
      </c>
      <c r="D52" s="42" t="s">
        <v>22</v>
      </c>
      <c r="G52" s="47">
        <f t="shared" si="0"/>
        <v>3076.9300000000007</v>
      </c>
      <c r="H52" t="b">
        <f>Table_15[[#This Row],[Temps d''achat]]&gt;9.3</f>
        <v>0</v>
      </c>
      <c r="I52" t="b">
        <f>Table_15[[#This Row],[Temps d''achat]]&lt;4</f>
        <v>0</v>
      </c>
    </row>
    <row r="53" spans="1:9" x14ac:dyDescent="0.35">
      <c r="A53" s="43">
        <v>28</v>
      </c>
      <c r="B53" s="44">
        <v>5.34</v>
      </c>
      <c r="C53" s="45">
        <v>51.69</v>
      </c>
      <c r="D53" s="46" t="s">
        <v>22</v>
      </c>
      <c r="G53" s="47">
        <f t="shared" si="0"/>
        <v>3157.4000000000005</v>
      </c>
      <c r="H53" t="b">
        <f>Table_15[[#This Row],[Temps d''achat]]&gt;9.3</f>
        <v>0</v>
      </c>
      <c r="I53" t="b">
        <f>Table_15[[#This Row],[Temps d''achat]]&lt;4</f>
        <v>0</v>
      </c>
    </row>
    <row r="54" spans="1:9" x14ac:dyDescent="0.35">
      <c r="A54" s="39">
        <v>28</v>
      </c>
      <c r="B54" s="40">
        <v>9.49</v>
      </c>
      <c r="C54" s="52">
        <v>80.47</v>
      </c>
      <c r="D54" s="42" t="s">
        <v>22</v>
      </c>
      <c r="G54" s="47">
        <f t="shared" si="0"/>
        <v>3223.6800000000007</v>
      </c>
      <c r="H54" t="b">
        <f>Table_15[[#This Row],[Temps d''achat]]&gt;9.3</f>
        <v>1</v>
      </c>
      <c r="I54" t="b">
        <f>Table_15[[#This Row],[Temps d''achat]]&lt;4</f>
        <v>0</v>
      </c>
    </row>
    <row r="55" spans="1:9" x14ac:dyDescent="0.35">
      <c r="A55" s="43">
        <v>25</v>
      </c>
      <c r="B55" s="44">
        <v>7.98</v>
      </c>
      <c r="C55" s="45">
        <v>66.28</v>
      </c>
      <c r="D55" s="46" t="s">
        <v>22</v>
      </c>
      <c r="G55" s="47">
        <f t="shared" si="0"/>
        <v>3280.6800000000007</v>
      </c>
      <c r="H55" t="b">
        <f>Table_15[[#This Row],[Temps d''achat]]&gt;9.3</f>
        <v>0</v>
      </c>
      <c r="I55" t="b">
        <f>Table_15[[#This Row],[Temps d''achat]]&lt;4</f>
        <v>0</v>
      </c>
    </row>
    <row r="56" spans="1:9" x14ac:dyDescent="0.35">
      <c r="A56" s="39">
        <v>31</v>
      </c>
      <c r="B56" s="40">
        <v>7.33</v>
      </c>
      <c r="C56" s="41">
        <v>57</v>
      </c>
      <c r="D56" s="42" t="s">
        <v>22</v>
      </c>
      <c r="G56" s="47">
        <f t="shared" si="0"/>
        <v>3338.690000000001</v>
      </c>
      <c r="H56" t="b">
        <f>Table_15[[#This Row],[Temps d''achat]]&gt;9.3</f>
        <v>0</v>
      </c>
      <c r="I56" t="b">
        <f>Table_15[[#This Row],[Temps d''achat]]&lt;4</f>
        <v>0</v>
      </c>
    </row>
    <row r="57" spans="1:9" x14ac:dyDescent="0.35">
      <c r="A57" s="43">
        <v>19</v>
      </c>
      <c r="B57" s="44">
        <v>7.59</v>
      </c>
      <c r="C57" s="45">
        <v>58.01</v>
      </c>
      <c r="D57" s="46" t="s">
        <v>22</v>
      </c>
      <c r="G57" s="47">
        <f t="shared" si="0"/>
        <v>3390.9900000000011</v>
      </c>
      <c r="H57" t="b">
        <f>Table_15[[#This Row],[Temps d''achat]]&gt;9.3</f>
        <v>0</v>
      </c>
      <c r="I57" t="b">
        <f>Table_15[[#This Row],[Temps d''achat]]&lt;4</f>
        <v>0</v>
      </c>
    </row>
    <row r="58" spans="1:9" x14ac:dyDescent="0.35">
      <c r="A58" s="39">
        <v>38</v>
      </c>
      <c r="B58" s="40">
        <v>6.82</v>
      </c>
      <c r="C58" s="41">
        <v>52.3</v>
      </c>
      <c r="D58" s="42" t="s">
        <v>22</v>
      </c>
      <c r="G58" s="47">
        <f t="shared" si="0"/>
        <v>3429.1600000000012</v>
      </c>
      <c r="H58" t="b">
        <f>Table_15[[#This Row],[Temps d''achat]]&gt;9.3</f>
        <v>0</v>
      </c>
      <c r="I58" t="b">
        <f>Table_15[[#This Row],[Temps d''achat]]&lt;4</f>
        <v>0</v>
      </c>
    </row>
    <row r="59" spans="1:9" x14ac:dyDescent="0.35">
      <c r="A59" s="43">
        <v>67</v>
      </c>
      <c r="B59" s="44">
        <v>4.17</v>
      </c>
      <c r="C59" s="45">
        <v>38.17</v>
      </c>
      <c r="D59" s="46" t="s">
        <v>22</v>
      </c>
      <c r="G59" s="47">
        <f t="shared" si="0"/>
        <v>3467.400000000001</v>
      </c>
      <c r="H59" t="b">
        <f>Table_15[[#This Row],[Temps d''achat]]&gt;9.3</f>
        <v>0</v>
      </c>
      <c r="I59" t="b">
        <f>Table_15[[#This Row],[Temps d''achat]]&lt;4</f>
        <v>0</v>
      </c>
    </row>
    <row r="60" spans="1:9" x14ac:dyDescent="0.35">
      <c r="A60" s="39">
        <v>24</v>
      </c>
      <c r="B60" s="40">
        <v>4.4800000000000004</v>
      </c>
      <c r="C60" s="41">
        <v>38.24</v>
      </c>
      <c r="D60" s="42" t="s">
        <v>22</v>
      </c>
      <c r="G60" s="47">
        <f t="shared" si="0"/>
        <v>3543.7900000000009</v>
      </c>
      <c r="H60" t="b">
        <f>Table_15[[#This Row],[Temps d''achat]]&gt;9.3</f>
        <v>0</v>
      </c>
      <c r="I60" t="b">
        <f>Table_15[[#This Row],[Temps d''achat]]&lt;4</f>
        <v>0</v>
      </c>
    </row>
    <row r="61" spans="1:9" x14ac:dyDescent="0.35">
      <c r="A61" s="43">
        <v>18</v>
      </c>
      <c r="B61" s="44">
        <v>9.1999999999999993</v>
      </c>
      <c r="C61" s="45">
        <v>76.39</v>
      </c>
      <c r="D61" s="46" t="s">
        <v>22</v>
      </c>
      <c r="G61" s="47">
        <f t="shared" si="0"/>
        <v>3606.860000000001</v>
      </c>
      <c r="H61" t="b">
        <f>Table_15[[#This Row],[Temps d''achat]]&gt;9.3</f>
        <v>0</v>
      </c>
      <c r="I61" t="b">
        <f>Table_15[[#This Row],[Temps d''achat]]&lt;4</f>
        <v>0</v>
      </c>
    </row>
    <row r="62" spans="1:9" x14ac:dyDescent="0.35">
      <c r="A62" s="39">
        <v>26</v>
      </c>
      <c r="B62" s="40">
        <v>8.14</v>
      </c>
      <c r="C62" s="41">
        <v>63.07</v>
      </c>
      <c r="D62" s="42" t="s">
        <v>22</v>
      </c>
      <c r="G62" s="47">
        <f t="shared" si="0"/>
        <v>3666.2500000000009</v>
      </c>
      <c r="H62" t="b">
        <f>Table_15[[#This Row],[Temps d''achat]]&gt;9.3</f>
        <v>0</v>
      </c>
      <c r="I62" t="b">
        <f>Table_15[[#This Row],[Temps d''achat]]&lt;4</f>
        <v>0</v>
      </c>
    </row>
    <row r="63" spans="1:9" x14ac:dyDescent="0.35">
      <c r="A63" s="43">
        <v>49</v>
      </c>
      <c r="B63" s="44">
        <v>6.76</v>
      </c>
      <c r="C63" s="45">
        <v>59.39</v>
      </c>
      <c r="D63" s="46" t="s">
        <v>22</v>
      </c>
      <c r="G63" s="47">
        <f t="shared" si="0"/>
        <v>3710.5000000000009</v>
      </c>
      <c r="H63" t="b">
        <f>Table_15[[#This Row],[Temps d''achat]]&gt;9.3</f>
        <v>0</v>
      </c>
      <c r="I63" t="b">
        <f>Table_15[[#This Row],[Temps d''achat]]&lt;4</f>
        <v>0</v>
      </c>
    </row>
    <row r="64" spans="1:9" x14ac:dyDescent="0.35">
      <c r="A64" s="39">
        <v>45</v>
      </c>
      <c r="B64" s="40">
        <v>4.59</v>
      </c>
      <c r="C64" s="41">
        <v>44.25</v>
      </c>
      <c r="D64" s="42" t="s">
        <v>22</v>
      </c>
      <c r="G64" s="47">
        <f t="shared" si="0"/>
        <v>3779.2600000000011</v>
      </c>
      <c r="H64" t="b">
        <f>Table_15[[#This Row],[Temps d''achat]]&gt;9.3</f>
        <v>0</v>
      </c>
      <c r="I64" t="b">
        <f>Table_15[[#This Row],[Temps d''achat]]&lt;4</f>
        <v>0</v>
      </c>
    </row>
    <row r="65" spans="1:9" x14ac:dyDescent="0.35">
      <c r="A65" s="43">
        <v>37</v>
      </c>
      <c r="B65" s="44">
        <v>8.8000000000000007</v>
      </c>
      <c r="C65" s="45">
        <v>68.760000000000005</v>
      </c>
      <c r="D65" s="46" t="s">
        <v>22</v>
      </c>
      <c r="G65" s="47">
        <f t="shared" si="0"/>
        <v>3832.130000000001</v>
      </c>
      <c r="H65" t="b">
        <f>Table_15[[#This Row],[Temps d''achat]]&gt;9.3</f>
        <v>0</v>
      </c>
      <c r="I65" t="b">
        <f>Table_15[[#This Row],[Temps d''achat]]&lt;4</f>
        <v>0</v>
      </c>
    </row>
    <row r="66" spans="1:9" x14ac:dyDescent="0.35">
      <c r="A66" s="39">
        <v>29</v>
      </c>
      <c r="B66" s="40">
        <v>6.59</v>
      </c>
      <c r="C66" s="41">
        <v>52.87</v>
      </c>
      <c r="D66" s="42" t="s">
        <v>22</v>
      </c>
      <c r="G66" s="47">
        <f t="shared" si="0"/>
        <v>3872.9900000000011</v>
      </c>
      <c r="H66" t="b">
        <f>Table_15[[#This Row],[Temps d''achat]]&gt;9.3</f>
        <v>0</v>
      </c>
      <c r="I66" t="b">
        <f>Table_15[[#This Row],[Temps d''achat]]&lt;4</f>
        <v>0</v>
      </c>
    </row>
    <row r="67" spans="1:9" x14ac:dyDescent="0.35">
      <c r="A67" s="43">
        <v>38</v>
      </c>
      <c r="B67" s="44">
        <v>4.57</v>
      </c>
      <c r="C67" s="45">
        <v>40.86</v>
      </c>
      <c r="D67" s="46" t="s">
        <v>22</v>
      </c>
      <c r="G67" s="47">
        <f t="shared" si="0"/>
        <v>3931.8500000000013</v>
      </c>
      <c r="H67" t="b">
        <f>Table_15[[#This Row],[Temps d''achat]]&gt;9.3</f>
        <v>0</v>
      </c>
      <c r="I67" t="b">
        <f>Table_15[[#This Row],[Temps d''achat]]&lt;4</f>
        <v>0</v>
      </c>
    </row>
    <row r="68" spans="1:9" x14ac:dyDescent="0.35">
      <c r="A68" s="39">
        <v>36</v>
      </c>
      <c r="B68" s="40">
        <v>6.97</v>
      </c>
      <c r="C68" s="41">
        <v>58.86</v>
      </c>
      <c r="D68" s="42" t="s">
        <v>22</v>
      </c>
      <c r="G68" s="47">
        <f t="shared" si="0"/>
        <v>3987.4500000000012</v>
      </c>
      <c r="H68" t="b">
        <f>Table_15[[#This Row],[Temps d''achat]]&gt;9.3</f>
        <v>0</v>
      </c>
      <c r="I68" t="b">
        <f>Table_15[[#This Row],[Temps d''achat]]&lt;4</f>
        <v>0</v>
      </c>
    </row>
    <row r="69" spans="1:9" x14ac:dyDescent="0.35">
      <c r="A69" s="43">
        <v>34</v>
      </c>
      <c r="B69" s="44">
        <v>6.82</v>
      </c>
      <c r="C69" s="45">
        <v>55.6</v>
      </c>
      <c r="D69" s="46" t="s">
        <v>22</v>
      </c>
      <c r="G69" s="47">
        <f t="shared" ref="G69:G132" si="1">G68+C70</f>
        <v>4030.650000000001</v>
      </c>
      <c r="H69" t="b">
        <f>Table_15[[#This Row],[Temps d''achat]]&gt;9.3</f>
        <v>0</v>
      </c>
      <c r="I69" t="b">
        <f>Table_15[[#This Row],[Temps d''achat]]&lt;4</f>
        <v>0</v>
      </c>
    </row>
    <row r="70" spans="1:9" x14ac:dyDescent="0.35">
      <c r="A70" s="39">
        <v>43</v>
      </c>
      <c r="B70" s="40">
        <v>5.56</v>
      </c>
      <c r="C70" s="41">
        <v>43.2</v>
      </c>
      <c r="D70" s="42" t="s">
        <v>22</v>
      </c>
      <c r="G70" s="47">
        <f t="shared" si="1"/>
        <v>4077.420000000001</v>
      </c>
      <c r="H70" t="b">
        <f>Table_15[[#This Row],[Temps d''achat]]&gt;9.3</f>
        <v>0</v>
      </c>
      <c r="I70" t="b">
        <f>Table_15[[#This Row],[Temps d''achat]]&lt;4</f>
        <v>0</v>
      </c>
    </row>
    <row r="71" spans="1:9" x14ac:dyDescent="0.35">
      <c r="A71" s="43">
        <v>28</v>
      </c>
      <c r="B71" s="44">
        <v>5.29</v>
      </c>
      <c r="C71" s="45">
        <v>46.77</v>
      </c>
      <c r="D71" s="46" t="s">
        <v>22</v>
      </c>
      <c r="G71" s="47">
        <f t="shared" si="1"/>
        <v>4129.9300000000012</v>
      </c>
      <c r="H71" t="b">
        <f>Table_15[[#This Row],[Temps d''achat]]&gt;9.3</f>
        <v>0</v>
      </c>
      <c r="I71" t="b">
        <f>Table_15[[#This Row],[Temps d''achat]]&lt;4</f>
        <v>0</v>
      </c>
    </row>
    <row r="72" spans="1:9" x14ac:dyDescent="0.35">
      <c r="A72" s="39">
        <v>11</v>
      </c>
      <c r="B72" s="40">
        <v>6.64</v>
      </c>
      <c r="C72" s="41">
        <v>52.51</v>
      </c>
      <c r="D72" s="42" t="s">
        <v>22</v>
      </c>
      <c r="G72" s="47">
        <f t="shared" si="1"/>
        <v>4184.2100000000009</v>
      </c>
      <c r="H72" t="b">
        <f>Table_15[[#This Row],[Temps d''achat]]&gt;9.3</f>
        <v>0</v>
      </c>
      <c r="I72" t="b">
        <f>Table_15[[#This Row],[Temps d''achat]]&lt;4</f>
        <v>0</v>
      </c>
    </row>
    <row r="73" spans="1:9" x14ac:dyDescent="0.35">
      <c r="A73" s="43">
        <v>7</v>
      </c>
      <c r="B73" s="44">
        <v>7.75</v>
      </c>
      <c r="C73" s="45">
        <v>54.28</v>
      </c>
      <c r="D73" s="46" t="s">
        <v>22</v>
      </c>
      <c r="G73" s="47">
        <f t="shared" si="1"/>
        <v>4238.5300000000007</v>
      </c>
      <c r="H73" t="b">
        <f>Table_15[[#This Row],[Temps d''achat]]&gt;9.3</f>
        <v>0</v>
      </c>
      <c r="I73" t="b">
        <f>Table_15[[#This Row],[Temps d''achat]]&lt;4</f>
        <v>0</v>
      </c>
    </row>
    <row r="74" spans="1:9" x14ac:dyDescent="0.35">
      <c r="A74" s="39">
        <v>33</v>
      </c>
      <c r="B74" s="40">
        <v>6.99</v>
      </c>
      <c r="C74" s="41">
        <v>54.32</v>
      </c>
      <c r="D74" s="42" t="s">
        <v>22</v>
      </c>
      <c r="G74" s="47">
        <f t="shared" si="1"/>
        <v>4295.5500000000011</v>
      </c>
      <c r="H74" t="b">
        <f>Table_15[[#This Row],[Temps d''achat]]&gt;9.3</f>
        <v>0</v>
      </c>
      <c r="I74" t="b">
        <f>Table_15[[#This Row],[Temps d''achat]]&lt;4</f>
        <v>0</v>
      </c>
    </row>
    <row r="75" spans="1:9" x14ac:dyDescent="0.35">
      <c r="A75" s="43">
        <v>20</v>
      </c>
      <c r="B75" s="44">
        <v>7.31</v>
      </c>
      <c r="C75" s="45">
        <v>57.02</v>
      </c>
      <c r="D75" s="46" t="s">
        <v>22</v>
      </c>
      <c r="G75" s="47">
        <f t="shared" si="1"/>
        <v>4364.0300000000007</v>
      </c>
      <c r="H75" t="b">
        <f>Table_15[[#This Row],[Temps d''achat]]&gt;9.3</f>
        <v>0</v>
      </c>
      <c r="I75" t="b">
        <f>Table_15[[#This Row],[Temps d''achat]]&lt;4</f>
        <v>0</v>
      </c>
    </row>
    <row r="76" spans="1:9" x14ac:dyDescent="0.35">
      <c r="A76" s="39">
        <v>24</v>
      </c>
      <c r="B76" s="40">
        <v>8.6</v>
      </c>
      <c r="C76" s="41">
        <v>68.48</v>
      </c>
      <c r="D76" s="42" t="s">
        <v>22</v>
      </c>
      <c r="G76" s="47">
        <f t="shared" si="1"/>
        <v>4408.0000000000009</v>
      </c>
      <c r="H76" t="b">
        <f>Table_15[[#This Row],[Temps d''achat]]&gt;9.3</f>
        <v>0</v>
      </c>
      <c r="I76" t="b">
        <f>Table_15[[#This Row],[Temps d''achat]]&lt;4</f>
        <v>0</v>
      </c>
    </row>
    <row r="77" spans="1:9" x14ac:dyDescent="0.35">
      <c r="A77" s="43">
        <v>30</v>
      </c>
      <c r="B77" s="44">
        <v>4.93</v>
      </c>
      <c r="C77" s="45">
        <v>43.97</v>
      </c>
      <c r="D77" s="46" t="s">
        <v>22</v>
      </c>
      <c r="G77" s="47">
        <f t="shared" si="1"/>
        <v>4455.7400000000007</v>
      </c>
      <c r="H77" t="b">
        <f>Table_15[[#This Row],[Temps d''achat]]&gt;9.3</f>
        <v>0</v>
      </c>
      <c r="I77" t="b">
        <f>Table_15[[#This Row],[Temps d''achat]]&lt;4</f>
        <v>0</v>
      </c>
    </row>
    <row r="78" spans="1:9" x14ac:dyDescent="0.35">
      <c r="A78" s="39">
        <v>24</v>
      </c>
      <c r="B78" s="40">
        <v>4.05</v>
      </c>
      <c r="C78" s="41">
        <v>47.74</v>
      </c>
      <c r="D78" s="42" t="s">
        <v>22</v>
      </c>
      <c r="G78" s="47">
        <f t="shared" si="1"/>
        <v>4533.5800000000008</v>
      </c>
      <c r="H78" t="b">
        <f>Table_15[[#This Row],[Temps d''achat]]&gt;9.3</f>
        <v>0</v>
      </c>
      <c r="I78" t="b">
        <f>Table_15[[#This Row],[Temps d''achat]]&lt;4</f>
        <v>0</v>
      </c>
    </row>
    <row r="79" spans="1:9" x14ac:dyDescent="0.35">
      <c r="A79" s="43">
        <v>6</v>
      </c>
      <c r="B79" s="44">
        <v>9.0500000000000007</v>
      </c>
      <c r="C79" s="45">
        <v>77.84</v>
      </c>
      <c r="D79" s="46" t="s">
        <v>22</v>
      </c>
      <c r="G79" s="47">
        <f t="shared" si="1"/>
        <v>4580.3400000000011</v>
      </c>
      <c r="H79" t="b">
        <f>Table_15[[#This Row],[Temps d''achat]]&gt;9.3</f>
        <v>0</v>
      </c>
      <c r="I79" t="b">
        <f>Table_15[[#This Row],[Temps d''achat]]&lt;4</f>
        <v>0</v>
      </c>
    </row>
    <row r="80" spans="1:9" x14ac:dyDescent="0.35">
      <c r="A80" s="39">
        <v>36</v>
      </c>
      <c r="B80" s="40">
        <v>5.77</v>
      </c>
      <c r="C80" s="41">
        <v>46.76</v>
      </c>
      <c r="D80" s="42" t="s">
        <v>22</v>
      </c>
      <c r="G80" s="47">
        <f t="shared" si="1"/>
        <v>4649.9500000000007</v>
      </c>
      <c r="H80" t="b">
        <f>Table_15[[#This Row],[Temps d''achat]]&gt;9.3</f>
        <v>0</v>
      </c>
      <c r="I80" t="b">
        <f>Table_15[[#This Row],[Temps d''achat]]&lt;4</f>
        <v>0</v>
      </c>
    </row>
    <row r="81" spans="1:9" x14ac:dyDescent="0.35">
      <c r="A81" s="43">
        <v>26</v>
      </c>
      <c r="B81" s="44">
        <v>7.37</v>
      </c>
      <c r="C81" s="45">
        <v>69.61</v>
      </c>
      <c r="D81" s="46" t="s">
        <v>22</v>
      </c>
      <c r="G81" s="47">
        <f t="shared" si="1"/>
        <v>4702.3100000000004</v>
      </c>
      <c r="H81" t="b">
        <f>Table_15[[#This Row],[Temps d''achat]]&gt;9.3</f>
        <v>0</v>
      </c>
      <c r="I81" t="b">
        <f>Table_15[[#This Row],[Temps d''achat]]&lt;4</f>
        <v>0</v>
      </c>
    </row>
    <row r="82" spans="1:9" x14ac:dyDescent="0.35">
      <c r="A82" s="39">
        <v>6</v>
      </c>
      <c r="B82" s="40">
        <v>6.34</v>
      </c>
      <c r="C82" s="41">
        <v>52.36</v>
      </c>
      <c r="D82" s="42" t="s">
        <v>22</v>
      </c>
      <c r="G82" s="47">
        <f t="shared" si="1"/>
        <v>4749.1100000000006</v>
      </c>
      <c r="H82" t="b">
        <f>Table_15[[#This Row],[Temps d''achat]]&gt;9.3</f>
        <v>0</v>
      </c>
      <c r="I82" t="b">
        <f>Table_15[[#This Row],[Temps d''achat]]&lt;4</f>
        <v>0</v>
      </c>
    </row>
    <row r="83" spans="1:9" x14ac:dyDescent="0.35">
      <c r="A83" s="43">
        <v>41</v>
      </c>
      <c r="B83" s="44">
        <v>5.14</v>
      </c>
      <c r="C83" s="45">
        <v>46.8</v>
      </c>
      <c r="D83" s="46" t="s">
        <v>22</v>
      </c>
      <c r="G83" s="47">
        <f t="shared" si="1"/>
        <v>4788.8300000000008</v>
      </c>
      <c r="H83" t="b">
        <f>Table_15[[#This Row],[Temps d''achat]]&gt;9.3</f>
        <v>0</v>
      </c>
      <c r="I83" t="b">
        <f>Table_15[[#This Row],[Temps d''achat]]&lt;4</f>
        <v>0</v>
      </c>
    </row>
    <row r="84" spans="1:9" x14ac:dyDescent="0.35">
      <c r="A84" s="39">
        <v>5</v>
      </c>
      <c r="B84" s="40">
        <v>5.43</v>
      </c>
      <c r="C84" s="41">
        <v>39.72</v>
      </c>
      <c r="D84" s="42" t="s">
        <v>22</v>
      </c>
      <c r="G84" s="47">
        <f t="shared" si="1"/>
        <v>4861.3700000000008</v>
      </c>
      <c r="H84" t="b">
        <f>Table_15[[#This Row],[Temps d''achat]]&gt;9.3</f>
        <v>0</v>
      </c>
      <c r="I84" t="b">
        <f>Table_15[[#This Row],[Temps d''achat]]&lt;4</f>
        <v>0</v>
      </c>
    </row>
    <row r="85" spans="1:9" x14ac:dyDescent="0.35">
      <c r="A85" s="43">
        <v>6</v>
      </c>
      <c r="B85" s="44">
        <v>8.98</v>
      </c>
      <c r="C85" s="45">
        <v>72.540000000000006</v>
      </c>
      <c r="D85" s="46" t="s">
        <v>22</v>
      </c>
      <c r="G85" s="47">
        <f t="shared" si="1"/>
        <v>4940.7200000000012</v>
      </c>
      <c r="H85" t="b">
        <f>Table_15[[#This Row],[Temps d''achat]]&gt;9.3</f>
        <v>0</v>
      </c>
      <c r="I85" t="b">
        <f>Table_15[[#This Row],[Temps d''achat]]&lt;4</f>
        <v>0</v>
      </c>
    </row>
    <row r="86" spans="1:9" x14ac:dyDescent="0.35">
      <c r="A86" s="39">
        <v>7</v>
      </c>
      <c r="B86" s="40">
        <v>8.9600000000000009</v>
      </c>
      <c r="C86" s="41">
        <v>79.349999999999994</v>
      </c>
      <c r="D86" s="42" t="s">
        <v>22</v>
      </c>
      <c r="G86" s="47">
        <f t="shared" si="1"/>
        <v>4997.420000000001</v>
      </c>
      <c r="H86" t="b">
        <f>Table_15[[#This Row],[Temps d''achat]]&gt;9.3</f>
        <v>0</v>
      </c>
      <c r="I86" t="b">
        <f>Table_15[[#This Row],[Temps d''achat]]&lt;4</f>
        <v>0</v>
      </c>
    </row>
    <row r="87" spans="1:9" x14ac:dyDescent="0.35">
      <c r="A87" s="43">
        <v>38</v>
      </c>
      <c r="B87" s="44">
        <v>7.34</v>
      </c>
      <c r="C87" s="45">
        <v>56.7</v>
      </c>
      <c r="D87" s="46" t="s">
        <v>22</v>
      </c>
      <c r="G87" s="47">
        <f t="shared" si="1"/>
        <v>5062.0200000000013</v>
      </c>
      <c r="H87" t="b">
        <f>Table_15[[#This Row],[Temps d''achat]]&gt;9.3</f>
        <v>0</v>
      </c>
      <c r="I87" t="b">
        <f>Table_15[[#This Row],[Temps d''achat]]&lt;4</f>
        <v>0</v>
      </c>
    </row>
    <row r="88" spans="1:9" x14ac:dyDescent="0.35">
      <c r="A88" s="39">
        <v>1</v>
      </c>
      <c r="B88" s="40">
        <v>6.81</v>
      </c>
      <c r="C88" s="41">
        <v>64.599999999999994</v>
      </c>
      <c r="D88" s="42" t="s">
        <v>22</v>
      </c>
      <c r="G88" s="47">
        <f t="shared" si="1"/>
        <v>5127.9700000000012</v>
      </c>
      <c r="H88" t="b">
        <f>Table_15[[#This Row],[Temps d''achat]]&gt;9.3</f>
        <v>0</v>
      </c>
      <c r="I88" t="b">
        <f>Table_15[[#This Row],[Temps d''achat]]&lt;4</f>
        <v>0</v>
      </c>
    </row>
    <row r="89" spans="1:9" x14ac:dyDescent="0.35">
      <c r="A89" s="43">
        <v>24</v>
      </c>
      <c r="B89" s="44">
        <v>7.9</v>
      </c>
      <c r="C89" s="45">
        <v>65.95</v>
      </c>
      <c r="D89" s="46" t="s">
        <v>22</v>
      </c>
      <c r="G89" s="47">
        <f t="shared" si="1"/>
        <v>5185.4400000000014</v>
      </c>
      <c r="H89" t="b">
        <f>Table_15[[#This Row],[Temps d''achat]]&gt;9.3</f>
        <v>0</v>
      </c>
      <c r="I89" t="b">
        <f>Table_15[[#This Row],[Temps d''achat]]&lt;4</f>
        <v>0</v>
      </c>
    </row>
    <row r="90" spans="1:9" x14ac:dyDescent="0.35">
      <c r="A90" s="39">
        <v>10</v>
      </c>
      <c r="B90" s="40">
        <v>6.69</v>
      </c>
      <c r="C90" s="41">
        <v>57.47</v>
      </c>
      <c r="D90" s="42" t="s">
        <v>22</v>
      </c>
      <c r="G90" s="47">
        <f t="shared" si="1"/>
        <v>5242.1000000000013</v>
      </c>
      <c r="H90" t="b">
        <f>Table_15[[#This Row],[Temps d''achat]]&gt;9.3</f>
        <v>0</v>
      </c>
      <c r="I90" t="b">
        <f>Table_15[[#This Row],[Temps d''achat]]&lt;4</f>
        <v>0</v>
      </c>
    </row>
    <row r="91" spans="1:9" x14ac:dyDescent="0.35">
      <c r="A91" s="43">
        <v>10</v>
      </c>
      <c r="B91" s="44">
        <v>7.21</v>
      </c>
      <c r="C91" s="45">
        <v>56.66</v>
      </c>
      <c r="D91" s="46" t="s">
        <v>22</v>
      </c>
      <c r="G91" s="47">
        <f t="shared" si="1"/>
        <v>5311.1400000000012</v>
      </c>
      <c r="H91" t="b">
        <f>Table_15[[#This Row],[Temps d''achat]]&gt;9.3</f>
        <v>0</v>
      </c>
      <c r="I91" t="b">
        <f>Table_15[[#This Row],[Temps d''achat]]&lt;4</f>
        <v>0</v>
      </c>
    </row>
    <row r="92" spans="1:9" x14ac:dyDescent="0.35">
      <c r="A92" s="39">
        <v>16</v>
      </c>
      <c r="B92" s="40">
        <v>9.15</v>
      </c>
      <c r="C92" s="41">
        <v>69.040000000000006</v>
      </c>
      <c r="D92" s="42" t="s">
        <v>22</v>
      </c>
      <c r="G92" s="47">
        <f t="shared" si="1"/>
        <v>5350.7200000000012</v>
      </c>
      <c r="H92" t="b">
        <f>Table_15[[#This Row],[Temps d''achat]]&gt;9.3</f>
        <v>0</v>
      </c>
      <c r="I92" t="b">
        <f>Table_15[[#This Row],[Temps d''achat]]&lt;4</f>
        <v>0</v>
      </c>
    </row>
    <row r="93" spans="1:9" x14ac:dyDescent="0.35">
      <c r="A93" s="43">
        <v>23</v>
      </c>
      <c r="B93" s="44">
        <v>4.17</v>
      </c>
      <c r="C93" s="45">
        <v>39.58</v>
      </c>
      <c r="D93" s="46" t="s">
        <v>22</v>
      </c>
      <c r="G93" s="47">
        <f t="shared" si="1"/>
        <v>5408.6200000000008</v>
      </c>
      <c r="H93" t="b">
        <f>Table_15[[#This Row],[Temps d''achat]]&gt;9.3</f>
        <v>0</v>
      </c>
      <c r="I93" t="b">
        <f>Table_15[[#This Row],[Temps d''achat]]&lt;4</f>
        <v>0</v>
      </c>
    </row>
    <row r="94" spans="1:9" x14ac:dyDescent="0.35">
      <c r="A94" s="39">
        <v>35</v>
      </c>
      <c r="B94" s="40">
        <v>7.37</v>
      </c>
      <c r="C94" s="41">
        <v>57.9</v>
      </c>
      <c r="D94" s="42" t="s">
        <v>22</v>
      </c>
      <c r="G94" s="47">
        <f t="shared" si="1"/>
        <v>5472.3600000000006</v>
      </c>
      <c r="H94" t="b">
        <f>Table_15[[#This Row],[Temps d''achat]]&gt;9.3</f>
        <v>0</v>
      </c>
      <c r="I94" t="b">
        <f>Table_15[[#This Row],[Temps d''achat]]&lt;4</f>
        <v>0</v>
      </c>
    </row>
    <row r="95" spans="1:9" x14ac:dyDescent="0.35">
      <c r="A95" s="43">
        <v>6</v>
      </c>
      <c r="B95" s="44">
        <v>7.52</v>
      </c>
      <c r="C95" s="45">
        <v>63.74</v>
      </c>
      <c r="D95" s="46" t="s">
        <v>22</v>
      </c>
      <c r="G95" s="47">
        <f t="shared" si="1"/>
        <v>5511.05</v>
      </c>
      <c r="H95" t="b">
        <f>Table_15[[#This Row],[Temps d''achat]]&gt;9.3</f>
        <v>0</v>
      </c>
      <c r="I95" t="b">
        <f>Table_15[[#This Row],[Temps d''achat]]&lt;4</f>
        <v>0</v>
      </c>
    </row>
    <row r="96" spans="1:9" x14ac:dyDescent="0.35">
      <c r="A96" s="39">
        <v>24</v>
      </c>
      <c r="B96" s="40">
        <v>4.66</v>
      </c>
      <c r="C96" s="41">
        <v>38.69</v>
      </c>
      <c r="D96" s="42" t="s">
        <v>22</v>
      </c>
      <c r="G96" s="47">
        <f t="shared" si="1"/>
        <v>5576.92</v>
      </c>
      <c r="H96" t="b">
        <f>Table_15[[#This Row],[Temps d''achat]]&gt;9.3</f>
        <v>0</v>
      </c>
      <c r="I96" t="b">
        <f>Table_15[[#This Row],[Temps d''achat]]&lt;4</f>
        <v>0</v>
      </c>
    </row>
    <row r="97" spans="1:9" x14ac:dyDescent="0.35">
      <c r="A97" s="43">
        <v>34</v>
      </c>
      <c r="B97" s="44">
        <v>8.64</v>
      </c>
      <c r="C97" s="45">
        <v>65.87</v>
      </c>
      <c r="D97" s="46" t="s">
        <v>22</v>
      </c>
      <c r="G97" s="47">
        <f t="shared" si="1"/>
        <v>5639.05</v>
      </c>
      <c r="H97" t="b">
        <f>Table_15[[#This Row],[Temps d''achat]]&gt;9.3</f>
        <v>0</v>
      </c>
      <c r="I97" t="b">
        <f>Table_15[[#This Row],[Temps d''achat]]&lt;4</f>
        <v>0</v>
      </c>
    </row>
    <row r="98" spans="1:9" x14ac:dyDescent="0.35">
      <c r="A98" s="39">
        <v>26</v>
      </c>
      <c r="B98" s="40">
        <v>7.31</v>
      </c>
      <c r="C98" s="41">
        <v>62.13</v>
      </c>
      <c r="D98" s="42" t="s">
        <v>22</v>
      </c>
      <c r="G98" s="47">
        <f t="shared" si="1"/>
        <v>5689.51</v>
      </c>
      <c r="H98" t="b">
        <f>Table_15[[#This Row],[Temps d''achat]]&gt;9.3</f>
        <v>0</v>
      </c>
      <c r="I98" t="b">
        <f>Table_15[[#This Row],[Temps d''achat]]&lt;4</f>
        <v>0</v>
      </c>
    </row>
    <row r="99" spans="1:9" x14ac:dyDescent="0.35">
      <c r="A99" s="43">
        <v>34</v>
      </c>
      <c r="B99" s="44">
        <v>5.38</v>
      </c>
      <c r="C99" s="45">
        <v>50.46</v>
      </c>
      <c r="D99" s="46" t="s">
        <v>22</v>
      </c>
      <c r="G99" s="47">
        <f t="shared" si="1"/>
        <v>5766.67</v>
      </c>
      <c r="H99" t="b">
        <f>Table_15[[#This Row],[Temps d''achat]]&gt;9.3</f>
        <v>0</v>
      </c>
      <c r="I99" t="b">
        <f>Table_15[[#This Row],[Temps d''achat]]&lt;4</f>
        <v>0</v>
      </c>
    </row>
    <row r="100" spans="1:9" x14ac:dyDescent="0.35">
      <c r="A100" s="39">
        <v>18</v>
      </c>
      <c r="B100" s="40">
        <v>8.1</v>
      </c>
      <c r="C100" s="41">
        <v>77.16</v>
      </c>
      <c r="D100" s="42" t="s">
        <v>22</v>
      </c>
      <c r="G100" s="47">
        <f t="shared" si="1"/>
        <v>5819.51</v>
      </c>
      <c r="H100" t="b">
        <f>Table_15[[#This Row],[Temps d''achat]]&gt;9.3</f>
        <v>0</v>
      </c>
      <c r="I100" t="b">
        <f>Table_15[[#This Row],[Temps d''achat]]&lt;4</f>
        <v>0</v>
      </c>
    </row>
    <row r="101" spans="1:9" x14ac:dyDescent="0.35">
      <c r="A101" s="43">
        <v>18</v>
      </c>
      <c r="B101" s="44">
        <v>6.06</v>
      </c>
      <c r="C101" s="45">
        <v>52.84</v>
      </c>
      <c r="D101" s="46" t="s">
        <v>22</v>
      </c>
      <c r="G101" s="47">
        <f t="shared" si="1"/>
        <v>5903.79</v>
      </c>
      <c r="H101" t="b">
        <f>Table_15[[#This Row],[Temps d''achat]]&gt;9.3</f>
        <v>0</v>
      </c>
      <c r="I101" t="b">
        <f>Table_15[[#This Row],[Temps d''achat]]&lt;4</f>
        <v>0</v>
      </c>
    </row>
    <row r="102" spans="1:9" x14ac:dyDescent="0.35">
      <c r="A102" s="39">
        <v>22</v>
      </c>
      <c r="B102" s="40">
        <v>9.8699999999999992</v>
      </c>
      <c r="C102" s="52">
        <v>84.28</v>
      </c>
      <c r="D102" s="42" t="s">
        <v>22</v>
      </c>
      <c r="G102" s="47">
        <f t="shared" si="1"/>
        <v>5948.16</v>
      </c>
      <c r="H102" t="b">
        <f>Table_15[[#This Row],[Temps d''achat]]&gt;9.3</f>
        <v>1</v>
      </c>
      <c r="I102" t="b">
        <f>Table_15[[#This Row],[Temps d''achat]]&lt;4</f>
        <v>0</v>
      </c>
    </row>
    <row r="103" spans="1:9" x14ac:dyDescent="0.35">
      <c r="A103" s="43">
        <v>27</v>
      </c>
      <c r="B103" s="44">
        <v>4.7</v>
      </c>
      <c r="C103" s="45">
        <v>44.37</v>
      </c>
      <c r="D103" s="46" t="s">
        <v>22</v>
      </c>
      <c r="G103" s="47">
        <f t="shared" si="1"/>
        <v>6005.59</v>
      </c>
      <c r="H103" t="b">
        <f>Table_15[[#This Row],[Temps d''achat]]&gt;9.3</f>
        <v>0</v>
      </c>
      <c r="I103" t="b">
        <f>Table_15[[#This Row],[Temps d''achat]]&lt;4</f>
        <v>0</v>
      </c>
    </row>
    <row r="104" spans="1:9" x14ac:dyDescent="0.35">
      <c r="A104" s="39">
        <v>31</v>
      </c>
      <c r="B104" s="40">
        <v>5.87</v>
      </c>
      <c r="C104" s="41">
        <v>57.43</v>
      </c>
      <c r="D104" s="42" t="s">
        <v>22</v>
      </c>
      <c r="G104" s="47">
        <f t="shared" si="1"/>
        <v>6050.9000000000005</v>
      </c>
      <c r="H104" t="b">
        <f>Table_15[[#This Row],[Temps d''achat]]&gt;9.3</f>
        <v>0</v>
      </c>
      <c r="I104" t="b">
        <f>Table_15[[#This Row],[Temps d''achat]]&lt;4</f>
        <v>0</v>
      </c>
    </row>
    <row r="105" spans="1:9" x14ac:dyDescent="0.35">
      <c r="A105" s="43">
        <v>27</v>
      </c>
      <c r="B105" s="44">
        <v>4.84</v>
      </c>
      <c r="C105" s="45">
        <v>45.31</v>
      </c>
      <c r="D105" s="46" t="s">
        <v>22</v>
      </c>
      <c r="G105" s="47">
        <f t="shared" si="1"/>
        <v>6119.8600000000006</v>
      </c>
      <c r="H105" t="b">
        <f>Table_15[[#This Row],[Temps d''achat]]&gt;9.3</f>
        <v>0</v>
      </c>
      <c r="I105" t="b">
        <f>Table_15[[#This Row],[Temps d''achat]]&lt;4</f>
        <v>0</v>
      </c>
    </row>
    <row r="106" spans="1:9" x14ac:dyDescent="0.35">
      <c r="A106" s="39">
        <v>26</v>
      </c>
      <c r="B106" s="40">
        <v>8.6300000000000008</v>
      </c>
      <c r="C106" s="41">
        <v>68.959999999999994</v>
      </c>
      <c r="D106" s="42" t="s">
        <v>22</v>
      </c>
      <c r="G106" s="47">
        <f t="shared" si="1"/>
        <v>6201.5400000000009</v>
      </c>
      <c r="H106" t="b">
        <f>Table_15[[#This Row],[Temps d''achat]]&gt;9.3</f>
        <v>0</v>
      </c>
      <c r="I106" t="b">
        <f>Table_15[[#This Row],[Temps d''achat]]&lt;4</f>
        <v>0</v>
      </c>
    </row>
    <row r="107" spans="1:9" x14ac:dyDescent="0.35">
      <c r="A107" s="43">
        <v>34</v>
      </c>
      <c r="B107" s="44">
        <v>9.94</v>
      </c>
      <c r="C107" s="53">
        <v>81.680000000000007</v>
      </c>
      <c r="D107" s="46" t="s">
        <v>22</v>
      </c>
      <c r="G107" s="47">
        <f t="shared" si="1"/>
        <v>6277.2800000000007</v>
      </c>
      <c r="H107" t="b">
        <f>Table_15[[#This Row],[Temps d''achat]]&gt;9.3</f>
        <v>1</v>
      </c>
      <c r="I107" t="b">
        <f>Table_15[[#This Row],[Temps d''achat]]&lt;4</f>
        <v>0</v>
      </c>
    </row>
    <row r="108" spans="1:9" x14ac:dyDescent="0.35">
      <c r="A108" s="39">
        <v>18</v>
      </c>
      <c r="B108" s="40">
        <v>9.99</v>
      </c>
      <c r="C108" s="52">
        <v>75.739999999999995</v>
      </c>
      <c r="D108" s="42" t="s">
        <v>22</v>
      </c>
      <c r="G108" s="47">
        <f t="shared" si="1"/>
        <v>6329.7300000000005</v>
      </c>
      <c r="H108" t="b">
        <f>Table_15[[#This Row],[Temps d''achat]]&gt;9.3</f>
        <v>1</v>
      </c>
      <c r="I108" t="b">
        <f>Table_15[[#This Row],[Temps d''achat]]&lt;4</f>
        <v>0</v>
      </c>
    </row>
    <row r="109" spans="1:9" x14ac:dyDescent="0.35">
      <c r="A109" s="43">
        <v>1</v>
      </c>
      <c r="B109" s="44">
        <v>5.45</v>
      </c>
      <c r="C109" s="45">
        <v>52.45</v>
      </c>
      <c r="D109" s="46" t="s">
        <v>22</v>
      </c>
      <c r="G109" s="47">
        <f t="shared" si="1"/>
        <v>6397.8</v>
      </c>
      <c r="H109" t="b">
        <f>Table_15[[#This Row],[Temps d''achat]]&gt;9.3</f>
        <v>0</v>
      </c>
      <c r="I109" t="b">
        <f>Table_15[[#This Row],[Temps d''achat]]&lt;4</f>
        <v>0</v>
      </c>
    </row>
    <row r="110" spans="1:9" x14ac:dyDescent="0.35">
      <c r="A110" s="39">
        <v>22</v>
      </c>
      <c r="B110" s="40">
        <v>8.7200000000000006</v>
      </c>
      <c r="C110" s="41">
        <v>68.069999999999993</v>
      </c>
      <c r="D110" s="42" t="s">
        <v>22</v>
      </c>
      <c r="G110" s="47">
        <f t="shared" si="1"/>
        <v>6449.47</v>
      </c>
      <c r="H110" t="b">
        <f>Table_15[[#This Row],[Temps d''achat]]&gt;9.3</f>
        <v>0</v>
      </c>
      <c r="I110" t="b">
        <f>Table_15[[#This Row],[Temps d''achat]]&lt;4</f>
        <v>0</v>
      </c>
    </row>
    <row r="111" spans="1:9" x14ac:dyDescent="0.35">
      <c r="A111" s="43">
        <v>2</v>
      </c>
      <c r="B111" s="44">
        <v>4.6399999999999997</v>
      </c>
      <c r="C111" s="45">
        <v>51.67</v>
      </c>
      <c r="D111" s="46" t="s">
        <v>22</v>
      </c>
      <c r="G111" s="47">
        <f t="shared" si="1"/>
        <v>6498.27</v>
      </c>
      <c r="H111" t="b">
        <f>Table_15[[#This Row],[Temps d''achat]]&gt;9.3</f>
        <v>0</v>
      </c>
      <c r="I111" t="b">
        <f>Table_15[[#This Row],[Temps d''achat]]&lt;4</f>
        <v>0</v>
      </c>
    </row>
    <row r="112" spans="1:9" x14ac:dyDescent="0.35">
      <c r="A112" s="39">
        <v>18</v>
      </c>
      <c r="B112" s="40">
        <v>5.66</v>
      </c>
      <c r="C112" s="41">
        <v>48.8</v>
      </c>
      <c r="D112" s="42" t="s">
        <v>22</v>
      </c>
      <c r="G112" s="47">
        <f t="shared" si="1"/>
        <v>6575.34</v>
      </c>
      <c r="H112" t="b">
        <f>Table_15[[#This Row],[Temps d''achat]]&gt;9.3</f>
        <v>0</v>
      </c>
      <c r="I112" t="b">
        <f>Table_15[[#This Row],[Temps d''achat]]&lt;4</f>
        <v>0</v>
      </c>
    </row>
    <row r="113" spans="1:9" x14ac:dyDescent="0.35">
      <c r="A113" s="43">
        <v>36</v>
      </c>
      <c r="B113" s="44">
        <v>9.0299999999999994</v>
      </c>
      <c r="C113" s="45">
        <v>77.069999999999993</v>
      </c>
      <c r="D113" s="46" t="s">
        <v>22</v>
      </c>
      <c r="G113" s="47">
        <f t="shared" si="1"/>
        <v>6628.75</v>
      </c>
      <c r="H113" t="b">
        <f>Table_15[[#This Row],[Temps d''achat]]&gt;9.3</f>
        <v>0</v>
      </c>
      <c r="I113" t="b">
        <f>Table_15[[#This Row],[Temps d''achat]]&lt;4</f>
        <v>0</v>
      </c>
    </row>
    <row r="114" spans="1:9" x14ac:dyDescent="0.35">
      <c r="A114" s="39">
        <v>20</v>
      </c>
      <c r="B114" s="40">
        <v>5.93</v>
      </c>
      <c r="C114" s="41">
        <v>53.41</v>
      </c>
      <c r="D114" s="42" t="s">
        <v>22</v>
      </c>
      <c r="G114" s="47">
        <f t="shared" si="1"/>
        <v>6697.01</v>
      </c>
      <c r="H114" t="b">
        <f>Table_15[[#This Row],[Temps d''achat]]&gt;9.3</f>
        <v>0</v>
      </c>
      <c r="I114" t="b">
        <f>Table_15[[#This Row],[Temps d''achat]]&lt;4</f>
        <v>0</v>
      </c>
    </row>
    <row r="115" spans="1:9" x14ac:dyDescent="0.35">
      <c r="A115" s="43">
        <v>20</v>
      </c>
      <c r="B115" s="44">
        <v>9.0299999999999994</v>
      </c>
      <c r="C115" s="45">
        <v>68.260000000000005</v>
      </c>
      <c r="D115" s="46" t="s">
        <v>22</v>
      </c>
      <c r="G115" s="47">
        <f t="shared" si="1"/>
        <v>6774.39</v>
      </c>
      <c r="H115" t="b">
        <f>Table_15[[#This Row],[Temps d''achat]]&gt;9.3</f>
        <v>0</v>
      </c>
      <c r="I115" t="b">
        <f>Table_15[[#This Row],[Temps d''achat]]&lt;4</f>
        <v>0</v>
      </c>
    </row>
    <row r="116" spans="1:9" x14ac:dyDescent="0.35">
      <c r="A116" s="39">
        <v>48</v>
      </c>
      <c r="B116" s="40">
        <v>9.58</v>
      </c>
      <c r="C116" s="52">
        <v>77.38</v>
      </c>
      <c r="D116" s="42" t="s">
        <v>22</v>
      </c>
      <c r="G116" s="47">
        <f t="shared" si="1"/>
        <v>6839.79</v>
      </c>
      <c r="H116" t="b">
        <f>Table_15[[#This Row],[Temps d''achat]]&gt;9.3</f>
        <v>1</v>
      </c>
      <c r="I116" t="b">
        <f>Table_15[[#This Row],[Temps d''achat]]&lt;4</f>
        <v>0</v>
      </c>
    </row>
    <row r="117" spans="1:9" x14ac:dyDescent="0.35">
      <c r="A117" s="43">
        <v>27</v>
      </c>
      <c r="B117" s="44">
        <v>6.96</v>
      </c>
      <c r="C117" s="45">
        <v>65.400000000000006</v>
      </c>
      <c r="D117" s="46" t="s">
        <v>22</v>
      </c>
      <c r="G117" s="47">
        <f t="shared" si="1"/>
        <v>6902.3</v>
      </c>
      <c r="H117" t="b">
        <f>Table_15[[#This Row],[Temps d''achat]]&gt;9.3</f>
        <v>0</v>
      </c>
      <c r="I117" t="b">
        <f>Table_15[[#This Row],[Temps d''achat]]&lt;4</f>
        <v>0</v>
      </c>
    </row>
    <row r="118" spans="1:9" x14ac:dyDescent="0.35">
      <c r="A118" s="39">
        <v>36</v>
      </c>
      <c r="B118" s="40">
        <v>8.49</v>
      </c>
      <c r="C118" s="41">
        <v>62.51</v>
      </c>
      <c r="D118" s="42" t="s">
        <v>22</v>
      </c>
      <c r="G118" s="47">
        <f t="shared" si="1"/>
        <v>6957.37</v>
      </c>
      <c r="H118" t="b">
        <f>Table_15[[#This Row],[Temps d''achat]]&gt;9.3</f>
        <v>0</v>
      </c>
      <c r="I118" t="b">
        <f>Table_15[[#This Row],[Temps d''achat]]&lt;4</f>
        <v>0</v>
      </c>
    </row>
    <row r="119" spans="1:9" x14ac:dyDescent="0.35">
      <c r="A119" s="43">
        <v>13</v>
      </c>
      <c r="B119" s="44">
        <v>7.11</v>
      </c>
      <c r="C119" s="45">
        <v>55.07</v>
      </c>
      <c r="D119" s="46" t="s">
        <v>22</v>
      </c>
      <c r="G119" s="47">
        <f t="shared" si="1"/>
        <v>7007.64</v>
      </c>
      <c r="H119" t="b">
        <f>Table_15[[#This Row],[Temps d''achat]]&gt;9.3</f>
        <v>0</v>
      </c>
      <c r="I119" t="b">
        <f>Table_15[[#This Row],[Temps d''achat]]&lt;4</f>
        <v>0</v>
      </c>
    </row>
    <row r="120" spans="1:9" x14ac:dyDescent="0.35">
      <c r="A120" s="39">
        <v>9</v>
      </c>
      <c r="B120" s="40">
        <v>5.67</v>
      </c>
      <c r="C120" s="41">
        <v>50.27</v>
      </c>
      <c r="D120" s="42" t="s">
        <v>22</v>
      </c>
      <c r="G120" s="47">
        <f t="shared" si="1"/>
        <v>7043.4400000000005</v>
      </c>
      <c r="H120" t="b">
        <f>Table_15[[#This Row],[Temps d''achat]]&gt;9.3</f>
        <v>0</v>
      </c>
      <c r="I120" t="b">
        <f>Table_15[[#This Row],[Temps d''achat]]&lt;4</f>
        <v>0</v>
      </c>
    </row>
    <row r="121" spans="1:9" x14ac:dyDescent="0.35">
      <c r="A121" s="43">
        <v>16</v>
      </c>
      <c r="B121" s="44">
        <v>4.34</v>
      </c>
      <c r="C121" s="45">
        <v>35.799999999999997</v>
      </c>
      <c r="D121" s="46" t="s">
        <v>22</v>
      </c>
      <c r="G121" s="47">
        <f t="shared" si="1"/>
        <v>7107.9900000000007</v>
      </c>
      <c r="H121" t="b">
        <f>Table_15[[#This Row],[Temps d''achat]]&gt;9.3</f>
        <v>0</v>
      </c>
      <c r="I121" t="b">
        <f>Table_15[[#This Row],[Temps d''achat]]&lt;4</f>
        <v>0</v>
      </c>
    </row>
    <row r="122" spans="1:9" x14ac:dyDescent="0.35">
      <c r="A122" s="39">
        <v>30</v>
      </c>
      <c r="B122" s="40">
        <v>6.72</v>
      </c>
      <c r="C122" s="41">
        <v>64.55</v>
      </c>
      <c r="D122" s="42" t="s">
        <v>22</v>
      </c>
      <c r="G122" s="47">
        <f t="shared" si="1"/>
        <v>7181.8600000000006</v>
      </c>
      <c r="H122" t="b">
        <f>Table_15[[#This Row],[Temps d''achat]]&gt;9.3</f>
        <v>0</v>
      </c>
      <c r="I122" t="b">
        <f>Table_15[[#This Row],[Temps d''achat]]&lt;4</f>
        <v>0</v>
      </c>
    </row>
    <row r="123" spans="1:9" x14ac:dyDescent="0.35">
      <c r="A123" s="43">
        <v>30</v>
      </c>
      <c r="B123" s="44">
        <v>9.18</v>
      </c>
      <c r="C123" s="45">
        <v>73.87</v>
      </c>
      <c r="D123" s="46" t="s">
        <v>22</v>
      </c>
      <c r="G123" s="47">
        <f t="shared" si="1"/>
        <v>7223.68</v>
      </c>
      <c r="H123" t="b">
        <f>Table_15[[#This Row],[Temps d''achat]]&gt;9.3</f>
        <v>0</v>
      </c>
      <c r="I123" t="b">
        <f>Table_15[[#This Row],[Temps d''achat]]&lt;4</f>
        <v>0</v>
      </c>
    </row>
    <row r="124" spans="1:9" x14ac:dyDescent="0.35">
      <c r="A124" s="39">
        <v>54</v>
      </c>
      <c r="B124" s="40">
        <v>4.32</v>
      </c>
      <c r="C124" s="41">
        <v>41.82</v>
      </c>
      <c r="D124" s="42" t="s">
        <v>22</v>
      </c>
      <c r="G124" s="47">
        <f t="shared" si="1"/>
        <v>7266.8600000000006</v>
      </c>
      <c r="H124" t="b">
        <f>Table_15[[#This Row],[Temps d''achat]]&gt;9.3</f>
        <v>0</v>
      </c>
      <c r="I124" t="b">
        <f>Table_15[[#This Row],[Temps d''achat]]&lt;4</f>
        <v>0</v>
      </c>
    </row>
    <row r="125" spans="1:9" x14ac:dyDescent="0.35">
      <c r="A125" s="43">
        <v>38</v>
      </c>
      <c r="B125" s="44">
        <v>4.28</v>
      </c>
      <c r="C125" s="45">
        <v>43.18</v>
      </c>
      <c r="D125" s="46" t="s">
        <v>22</v>
      </c>
      <c r="G125" s="47">
        <f t="shared" si="1"/>
        <v>7314.0800000000008</v>
      </c>
      <c r="H125" t="b">
        <f>Table_15[[#This Row],[Temps d''achat]]&gt;9.3</f>
        <v>0</v>
      </c>
      <c r="I125" t="b">
        <f>Table_15[[#This Row],[Temps d''achat]]&lt;4</f>
        <v>0</v>
      </c>
    </row>
    <row r="126" spans="1:9" x14ac:dyDescent="0.35">
      <c r="A126" s="39">
        <v>19</v>
      </c>
      <c r="B126" s="40">
        <v>5.0999999999999996</v>
      </c>
      <c r="C126" s="41">
        <v>47.22</v>
      </c>
      <c r="D126" s="42" t="s">
        <v>22</v>
      </c>
      <c r="G126" s="47">
        <f t="shared" si="1"/>
        <v>7367.9900000000007</v>
      </c>
      <c r="H126" t="b">
        <f>Table_15[[#This Row],[Temps d''achat]]&gt;9.3</f>
        <v>0</v>
      </c>
      <c r="I126" t="b">
        <f>Table_15[[#This Row],[Temps d''achat]]&lt;4</f>
        <v>0</v>
      </c>
    </row>
    <row r="127" spans="1:9" x14ac:dyDescent="0.35">
      <c r="A127" s="43">
        <v>26</v>
      </c>
      <c r="B127" s="44">
        <v>6.23</v>
      </c>
      <c r="C127" s="45">
        <v>53.91</v>
      </c>
      <c r="D127" s="46" t="s">
        <v>22</v>
      </c>
      <c r="G127" s="47">
        <f t="shared" si="1"/>
        <v>7427.7300000000005</v>
      </c>
      <c r="H127" t="b">
        <f>Table_15[[#This Row],[Temps d''achat]]&gt;9.3</f>
        <v>0</v>
      </c>
      <c r="I127" t="b">
        <f>Table_15[[#This Row],[Temps d''achat]]&lt;4</f>
        <v>0</v>
      </c>
    </row>
    <row r="128" spans="1:9" x14ac:dyDescent="0.35">
      <c r="A128" s="39">
        <v>30</v>
      </c>
      <c r="B128" s="40">
        <v>6.45</v>
      </c>
      <c r="C128" s="41">
        <v>59.74</v>
      </c>
      <c r="D128" s="42" t="s">
        <v>22</v>
      </c>
      <c r="G128" s="47">
        <f t="shared" si="1"/>
        <v>7501.8700000000008</v>
      </c>
      <c r="H128" t="b">
        <f>Table_15[[#This Row],[Temps d''achat]]&gt;9.3</f>
        <v>0</v>
      </c>
      <c r="I128" t="b">
        <f>Table_15[[#This Row],[Temps d''achat]]&lt;4</f>
        <v>0</v>
      </c>
    </row>
    <row r="129" spans="1:9" x14ac:dyDescent="0.35">
      <c r="A129" s="43">
        <v>31</v>
      </c>
      <c r="B129" s="44">
        <v>9.73</v>
      </c>
      <c r="C129" s="53">
        <v>74.14</v>
      </c>
      <c r="D129" s="46" t="s">
        <v>22</v>
      </c>
      <c r="G129" s="47">
        <f t="shared" si="1"/>
        <v>7578.420000000001</v>
      </c>
      <c r="H129" t="b">
        <f>Table_15[[#This Row],[Temps d''achat]]&gt;9.3</f>
        <v>1</v>
      </c>
      <c r="I129" t="b">
        <f>Table_15[[#This Row],[Temps d''achat]]&lt;4</f>
        <v>0</v>
      </c>
    </row>
    <row r="130" spans="1:9" x14ac:dyDescent="0.35">
      <c r="A130" s="43">
        <v>24</v>
      </c>
      <c r="B130" s="44">
        <v>9.2799999999999994</v>
      </c>
      <c r="C130" s="45">
        <v>76.55</v>
      </c>
      <c r="D130" s="46" t="s">
        <v>22</v>
      </c>
      <c r="G130" s="47">
        <f t="shared" si="1"/>
        <v>7615.4900000000007</v>
      </c>
      <c r="H130" t="b">
        <f>Table_15[[#This Row],[Temps d''achat]]&gt;9.3</f>
        <v>0</v>
      </c>
      <c r="I130" t="b">
        <f>Table_15[[#This Row],[Temps d''achat]]&lt;4</f>
        <v>0</v>
      </c>
    </row>
    <row r="131" spans="1:9" x14ac:dyDescent="0.35">
      <c r="A131" s="39">
        <v>10</v>
      </c>
      <c r="B131" s="40">
        <v>6.76</v>
      </c>
      <c r="C131" s="41">
        <v>37.07</v>
      </c>
      <c r="D131" s="42" t="s">
        <v>22</v>
      </c>
      <c r="G131" s="47">
        <f t="shared" si="1"/>
        <v>7686.8200000000006</v>
      </c>
      <c r="H131" t="b">
        <f>Table_15[[#This Row],[Temps d''achat]]&gt;9.3</f>
        <v>0</v>
      </c>
      <c r="I131" t="b">
        <f>Table_15[[#This Row],[Temps d''achat]]&lt;4</f>
        <v>0</v>
      </c>
    </row>
    <row r="132" spans="1:9" x14ac:dyDescent="0.35">
      <c r="A132" s="43">
        <v>25</v>
      </c>
      <c r="B132" s="44">
        <v>6.16</v>
      </c>
      <c r="C132" s="45">
        <v>71.33</v>
      </c>
      <c r="D132" s="46" t="s">
        <v>22</v>
      </c>
      <c r="G132" s="47">
        <f t="shared" si="1"/>
        <v>7767.130000000001</v>
      </c>
      <c r="H132" t="b">
        <f>Table_15[[#This Row],[Temps d''achat]]&gt;9.3</f>
        <v>0</v>
      </c>
      <c r="I132" t="b">
        <f>Table_15[[#This Row],[Temps d''achat]]&lt;4</f>
        <v>0</v>
      </c>
    </row>
    <row r="133" spans="1:9" x14ac:dyDescent="0.35">
      <c r="A133" s="39">
        <v>38</v>
      </c>
      <c r="B133" s="40">
        <v>8.2200000000000006</v>
      </c>
      <c r="C133" s="41">
        <v>80.31</v>
      </c>
      <c r="D133" s="42" t="s">
        <v>22</v>
      </c>
      <c r="G133" s="47">
        <f t="shared" ref="G133:G196" si="2">G132+C134</f>
        <v>7837.6200000000008</v>
      </c>
      <c r="H133" t="b">
        <f>Table_15[[#This Row],[Temps d''achat]]&gt;9.3</f>
        <v>0</v>
      </c>
      <c r="I133" t="b">
        <f>Table_15[[#This Row],[Temps d''achat]]&lt;4</f>
        <v>0</v>
      </c>
    </row>
    <row r="134" spans="1:9" x14ac:dyDescent="0.35">
      <c r="A134" s="43">
        <v>13</v>
      </c>
      <c r="B134" s="44">
        <v>6.16</v>
      </c>
      <c r="C134" s="45">
        <v>70.489999999999995</v>
      </c>
      <c r="D134" s="46" t="s">
        <v>22</v>
      </c>
      <c r="G134" s="47">
        <f t="shared" si="2"/>
        <v>7866.3700000000008</v>
      </c>
      <c r="H134" t="b">
        <f>Table_15[[#This Row],[Temps d''achat]]&gt;9.3</f>
        <v>0</v>
      </c>
      <c r="I134" t="b">
        <f>Table_15[[#This Row],[Temps d''achat]]&lt;4</f>
        <v>0</v>
      </c>
    </row>
    <row r="135" spans="1:9" x14ac:dyDescent="0.35">
      <c r="A135" s="39">
        <v>31</v>
      </c>
      <c r="B135" s="40">
        <v>7.22</v>
      </c>
      <c r="C135" s="41">
        <v>28.75</v>
      </c>
      <c r="D135" s="42" t="s">
        <v>22</v>
      </c>
      <c r="G135" s="47">
        <f t="shared" si="2"/>
        <v>7910.3200000000006</v>
      </c>
      <c r="H135" t="b">
        <f>Table_15[[#This Row],[Temps d''achat]]&gt;9.3</f>
        <v>0</v>
      </c>
      <c r="I135" t="b">
        <f>Table_15[[#This Row],[Temps d''achat]]&lt;4</f>
        <v>0</v>
      </c>
    </row>
    <row r="136" spans="1:9" x14ac:dyDescent="0.35">
      <c r="A136" s="43">
        <v>37</v>
      </c>
      <c r="B136" s="44">
        <v>8.6</v>
      </c>
      <c r="C136" s="45">
        <v>43.95</v>
      </c>
      <c r="D136" s="46" t="s">
        <v>22</v>
      </c>
      <c r="G136" s="47">
        <f t="shared" si="2"/>
        <v>7995.35</v>
      </c>
      <c r="H136" t="b">
        <f>Table_15[[#This Row],[Temps d''achat]]&gt;9.3</f>
        <v>0</v>
      </c>
      <c r="I136" t="b">
        <f>Table_15[[#This Row],[Temps d''achat]]&lt;4</f>
        <v>0</v>
      </c>
    </row>
    <row r="137" spans="1:9" x14ac:dyDescent="0.35">
      <c r="A137" s="39">
        <v>14</v>
      </c>
      <c r="B137" s="40">
        <v>7.95</v>
      </c>
      <c r="C137" s="41">
        <v>85.03</v>
      </c>
      <c r="D137" s="42" t="s">
        <v>22</v>
      </c>
      <c r="G137" s="47">
        <f t="shared" si="2"/>
        <v>8071.8200000000006</v>
      </c>
      <c r="H137" t="b">
        <f>Table_15[[#This Row],[Temps d''achat]]&gt;9.3</f>
        <v>0</v>
      </c>
      <c r="I137" t="b">
        <f>Table_15[[#This Row],[Temps d''achat]]&lt;4</f>
        <v>0</v>
      </c>
    </row>
    <row r="138" spans="1:9" x14ac:dyDescent="0.35">
      <c r="A138" s="43">
        <v>7</v>
      </c>
      <c r="B138" s="44">
        <v>4.4400000000000004</v>
      </c>
      <c r="C138" s="45">
        <v>76.47</v>
      </c>
      <c r="D138" s="46" t="s">
        <v>22</v>
      </c>
      <c r="G138" s="47">
        <f t="shared" si="2"/>
        <v>8122.9400000000005</v>
      </c>
      <c r="H138" t="b">
        <f>Table_15[[#This Row],[Temps d''achat]]&gt;9.3</f>
        <v>0</v>
      </c>
      <c r="I138" t="b">
        <f>Table_15[[#This Row],[Temps d''achat]]&lt;4</f>
        <v>0</v>
      </c>
    </row>
    <row r="139" spans="1:9" x14ac:dyDescent="0.35">
      <c r="A139" s="39">
        <v>10</v>
      </c>
      <c r="B139" s="40">
        <v>9.75</v>
      </c>
      <c r="C139" s="52">
        <v>51.12</v>
      </c>
      <c r="D139" s="42" t="s">
        <v>22</v>
      </c>
      <c r="G139" s="47">
        <f t="shared" si="2"/>
        <v>8190.9600000000009</v>
      </c>
      <c r="H139" t="b">
        <f>Table_15[[#This Row],[Temps d''achat]]&gt;9.3</f>
        <v>1</v>
      </c>
      <c r="I139" t="b">
        <f>Table_15[[#This Row],[Temps d''achat]]&lt;4</f>
        <v>0</v>
      </c>
    </row>
    <row r="140" spans="1:9" x14ac:dyDescent="0.35">
      <c r="A140" s="43">
        <v>12</v>
      </c>
      <c r="B140" s="44">
        <v>9.07</v>
      </c>
      <c r="C140" s="45">
        <v>68.02</v>
      </c>
      <c r="D140" s="46" t="s">
        <v>22</v>
      </c>
      <c r="G140" s="47">
        <f t="shared" si="2"/>
        <v>8256.1200000000008</v>
      </c>
      <c r="H140" t="b">
        <f>Table_15[[#This Row],[Temps d''achat]]&gt;9.3</f>
        <v>0</v>
      </c>
      <c r="I140" t="b">
        <f>Table_15[[#This Row],[Temps d''achat]]&lt;4</f>
        <v>0</v>
      </c>
    </row>
    <row r="141" spans="1:9" x14ac:dyDescent="0.35">
      <c r="A141" s="39">
        <v>34</v>
      </c>
      <c r="B141" s="40">
        <v>4.93</v>
      </c>
      <c r="C141" s="41">
        <v>65.16</v>
      </c>
      <c r="D141" s="42" t="s">
        <v>22</v>
      </c>
      <c r="G141" s="47">
        <f t="shared" si="2"/>
        <v>8314.1200000000008</v>
      </c>
      <c r="H141" t="b">
        <f>Table_15[[#This Row],[Temps d''achat]]&gt;9.3</f>
        <v>0</v>
      </c>
      <c r="I141" t="b">
        <f>Table_15[[#This Row],[Temps d''achat]]&lt;4</f>
        <v>0</v>
      </c>
    </row>
    <row r="142" spans="1:9" x14ac:dyDescent="0.35">
      <c r="A142" s="43">
        <v>26</v>
      </c>
      <c r="B142" s="44">
        <v>4.76</v>
      </c>
      <c r="C142" s="45">
        <v>58</v>
      </c>
      <c r="D142" s="46" t="s">
        <v>22</v>
      </c>
      <c r="G142" s="47">
        <f t="shared" si="2"/>
        <v>8369.2200000000012</v>
      </c>
      <c r="H142" t="b">
        <f>Table_15[[#This Row],[Temps d''achat]]&gt;9.3</f>
        <v>0</v>
      </c>
      <c r="I142" t="b">
        <f>Table_15[[#This Row],[Temps d''achat]]&lt;4</f>
        <v>0</v>
      </c>
    </row>
    <row r="143" spans="1:9" x14ac:dyDescent="0.35">
      <c r="A143" s="39">
        <v>29</v>
      </c>
      <c r="B143" s="40">
        <v>5.96</v>
      </c>
      <c r="C143" s="41">
        <v>55.1</v>
      </c>
      <c r="D143" s="42" t="s">
        <v>22</v>
      </c>
      <c r="G143" s="47">
        <f t="shared" si="2"/>
        <v>8390.3200000000015</v>
      </c>
      <c r="H143" t="b">
        <f>Table_15[[#This Row],[Temps d''achat]]&gt;9.3</f>
        <v>0</v>
      </c>
      <c r="I143" t="b">
        <f>Table_15[[#This Row],[Temps d''achat]]&lt;4</f>
        <v>0</v>
      </c>
    </row>
    <row r="144" spans="1:9" x14ac:dyDescent="0.35">
      <c r="A144" s="43">
        <v>23</v>
      </c>
      <c r="B144" s="44">
        <v>4.54</v>
      </c>
      <c r="C144" s="45">
        <v>21.1</v>
      </c>
      <c r="D144" s="46" t="s">
        <v>22</v>
      </c>
      <c r="G144" s="47">
        <f t="shared" si="2"/>
        <v>8439.8600000000024</v>
      </c>
      <c r="H144" t="b">
        <f>Table_15[[#This Row],[Temps d''achat]]&gt;9.3</f>
        <v>0</v>
      </c>
      <c r="I144" t="b">
        <f>Table_15[[#This Row],[Temps d''achat]]&lt;4</f>
        <v>0</v>
      </c>
    </row>
    <row r="145" spans="1:9" x14ac:dyDescent="0.35">
      <c r="A145" s="39">
        <v>34</v>
      </c>
      <c r="B145" s="40">
        <v>6.12</v>
      </c>
      <c r="C145" s="41">
        <v>49.54</v>
      </c>
      <c r="D145" s="42" t="s">
        <v>22</v>
      </c>
      <c r="G145" s="47">
        <f t="shared" si="2"/>
        <v>8480.7400000000016</v>
      </c>
      <c r="H145" t="b">
        <f>Table_15[[#This Row],[Temps d''achat]]&gt;9.3</f>
        <v>0</v>
      </c>
      <c r="I145" t="b">
        <f>Table_15[[#This Row],[Temps d''achat]]&lt;4</f>
        <v>0</v>
      </c>
    </row>
    <row r="146" spans="1:9" x14ac:dyDescent="0.35">
      <c r="A146" s="43">
        <v>17</v>
      </c>
      <c r="B146" s="44">
        <v>5.35</v>
      </c>
      <c r="C146" s="45">
        <v>40.880000000000003</v>
      </c>
      <c r="D146" s="46" t="s">
        <v>22</v>
      </c>
      <c r="G146" s="47">
        <f t="shared" si="2"/>
        <v>8508.380000000001</v>
      </c>
      <c r="H146" t="b">
        <f>Table_15[[#This Row],[Temps d''achat]]&gt;9.3</f>
        <v>0</v>
      </c>
      <c r="I146" t="b">
        <f>Table_15[[#This Row],[Temps d''achat]]&lt;4</f>
        <v>0</v>
      </c>
    </row>
    <row r="147" spans="1:9" x14ac:dyDescent="0.35">
      <c r="A147" s="39">
        <v>38</v>
      </c>
      <c r="B147" s="40">
        <v>8.39</v>
      </c>
      <c r="C147" s="41">
        <v>27.64</v>
      </c>
      <c r="D147" s="42" t="s">
        <v>22</v>
      </c>
      <c r="G147" s="47">
        <f t="shared" si="2"/>
        <v>8604.69</v>
      </c>
      <c r="H147" t="b">
        <f>Table_15[[#This Row],[Temps d''achat]]&gt;9.3</f>
        <v>0</v>
      </c>
      <c r="I147" t="b">
        <f>Table_15[[#This Row],[Temps d''achat]]&lt;4</f>
        <v>0</v>
      </c>
    </row>
    <row r="148" spans="1:9" x14ac:dyDescent="0.35">
      <c r="A148" s="43">
        <v>36</v>
      </c>
      <c r="B148" s="44">
        <v>9.35</v>
      </c>
      <c r="C148" s="53">
        <v>96.31</v>
      </c>
      <c r="D148" s="46" t="s">
        <v>22</v>
      </c>
      <c r="G148" s="47">
        <f t="shared" si="2"/>
        <v>8700.7200000000012</v>
      </c>
      <c r="H148" t="b">
        <f>Table_15[[#This Row],[Temps d''achat]]&gt;9.3</f>
        <v>1</v>
      </c>
      <c r="I148" t="b">
        <f>Table_15[[#This Row],[Temps d''achat]]&lt;4</f>
        <v>0</v>
      </c>
    </row>
    <row r="149" spans="1:9" x14ac:dyDescent="0.35">
      <c r="A149" s="39">
        <v>24</v>
      </c>
      <c r="B149" s="40">
        <v>5.0599999999999996</v>
      </c>
      <c r="C149" s="41">
        <v>96.03</v>
      </c>
      <c r="D149" s="42" t="s">
        <v>22</v>
      </c>
      <c r="G149" s="47">
        <f t="shared" si="2"/>
        <v>8778.010000000002</v>
      </c>
      <c r="H149" t="b">
        <f>Table_15[[#This Row],[Temps d''achat]]&gt;9.3</f>
        <v>0</v>
      </c>
      <c r="I149" t="b">
        <f>Table_15[[#This Row],[Temps d''achat]]&lt;4</f>
        <v>0</v>
      </c>
    </row>
    <row r="150" spans="1:9" x14ac:dyDescent="0.35">
      <c r="A150" s="43">
        <v>14</v>
      </c>
      <c r="B150" s="44">
        <v>7.18</v>
      </c>
      <c r="C150" s="45">
        <v>77.290000000000006</v>
      </c>
      <c r="D150" s="46" t="s">
        <v>22</v>
      </c>
      <c r="G150" s="47">
        <f t="shared" si="2"/>
        <v>8839.9300000000021</v>
      </c>
      <c r="H150" t="b">
        <f>Table_15[[#This Row],[Temps d''achat]]&gt;9.3</f>
        <v>0</v>
      </c>
      <c r="I150" t="b">
        <f>Table_15[[#This Row],[Temps d''achat]]&lt;4</f>
        <v>0</v>
      </c>
    </row>
    <row r="151" spans="1:9" x14ac:dyDescent="0.35">
      <c r="A151" s="39">
        <v>46</v>
      </c>
      <c r="B151" s="40">
        <v>7.22</v>
      </c>
      <c r="C151" s="41">
        <v>61.92</v>
      </c>
      <c r="D151" s="42" t="s">
        <v>22</v>
      </c>
      <c r="G151" s="47">
        <f t="shared" si="2"/>
        <v>8903.5000000000018</v>
      </c>
      <c r="H151" t="b">
        <f>Table_15[[#This Row],[Temps d''achat]]&gt;9.3</f>
        <v>0</v>
      </c>
      <c r="I151" t="b">
        <f>Table_15[[#This Row],[Temps d''achat]]&lt;4</f>
        <v>0</v>
      </c>
    </row>
    <row r="152" spans="1:9" x14ac:dyDescent="0.35">
      <c r="A152" s="43">
        <v>43</v>
      </c>
      <c r="B152" s="44">
        <v>9.27</v>
      </c>
      <c r="C152" s="45">
        <v>63.57</v>
      </c>
      <c r="D152" s="46" t="s">
        <v>22</v>
      </c>
      <c r="G152" s="47">
        <f t="shared" si="2"/>
        <v>8981.8000000000011</v>
      </c>
      <c r="H152" t="b">
        <f>Table_15[[#This Row],[Temps d''achat]]&gt;9.3</f>
        <v>0</v>
      </c>
      <c r="I152" t="b">
        <f>Table_15[[#This Row],[Temps d''achat]]&lt;4</f>
        <v>0</v>
      </c>
    </row>
    <row r="153" spans="1:9" x14ac:dyDescent="0.35">
      <c r="A153" s="39">
        <v>44</v>
      </c>
      <c r="B153" s="40">
        <v>9.9600000000000009</v>
      </c>
      <c r="C153" s="52">
        <v>78.3</v>
      </c>
      <c r="D153" s="42" t="s">
        <v>22</v>
      </c>
      <c r="G153" s="47">
        <f t="shared" si="2"/>
        <v>9031.8700000000008</v>
      </c>
      <c r="H153" t="b">
        <f>Table_15[[#This Row],[Temps d''achat]]&gt;9.3</f>
        <v>1</v>
      </c>
      <c r="I153" t="b">
        <f>Table_15[[#This Row],[Temps d''achat]]&lt;4</f>
        <v>0</v>
      </c>
    </row>
    <row r="154" spans="1:9" x14ac:dyDescent="0.35">
      <c r="A154" s="43">
        <v>43</v>
      </c>
      <c r="B154" s="44">
        <v>4.68</v>
      </c>
      <c r="C154" s="45">
        <v>50.07</v>
      </c>
      <c r="D154" s="46" t="s">
        <v>22</v>
      </c>
      <c r="G154" s="47">
        <f t="shared" si="2"/>
        <v>9083.2200000000012</v>
      </c>
      <c r="H154" t="b">
        <f>Table_15[[#This Row],[Temps d''achat]]&gt;9.3</f>
        <v>0</v>
      </c>
      <c r="I154" t="b">
        <f>Table_15[[#This Row],[Temps d''achat]]&lt;4</f>
        <v>0</v>
      </c>
    </row>
    <row r="155" spans="1:9" x14ac:dyDescent="0.35">
      <c r="A155" s="39">
        <v>34</v>
      </c>
      <c r="B155" s="40">
        <v>5.15</v>
      </c>
      <c r="C155" s="41">
        <v>51.35</v>
      </c>
      <c r="D155" s="42" t="s">
        <v>22</v>
      </c>
      <c r="G155" s="47">
        <f t="shared" si="2"/>
        <v>9136.630000000001</v>
      </c>
      <c r="H155" t="b">
        <f>Table_15[[#This Row],[Temps d''achat]]&gt;9.3</f>
        <v>0</v>
      </c>
      <c r="I155" t="b">
        <f>Table_15[[#This Row],[Temps d''achat]]&lt;4</f>
        <v>0</v>
      </c>
    </row>
    <row r="156" spans="1:9" x14ac:dyDescent="0.35">
      <c r="A156" s="43">
        <v>16</v>
      </c>
      <c r="B156" s="44">
        <v>9.65</v>
      </c>
      <c r="C156" s="53">
        <v>53.41</v>
      </c>
      <c r="D156" s="46" t="s">
        <v>22</v>
      </c>
      <c r="G156" s="47">
        <f t="shared" si="2"/>
        <v>9189.5400000000009</v>
      </c>
      <c r="H156" t="b">
        <f>Table_15[[#This Row],[Temps d''achat]]&gt;9.3</f>
        <v>1</v>
      </c>
      <c r="I156" t="b">
        <f>Table_15[[#This Row],[Temps d''achat]]&lt;4</f>
        <v>0</v>
      </c>
    </row>
    <row r="157" spans="1:9" x14ac:dyDescent="0.35">
      <c r="A157" s="39">
        <v>30</v>
      </c>
      <c r="B157" s="40">
        <v>8.61</v>
      </c>
      <c r="C157" s="41">
        <v>52.91</v>
      </c>
      <c r="D157" s="42" t="s">
        <v>22</v>
      </c>
      <c r="G157" s="47">
        <f t="shared" si="2"/>
        <v>9254.8200000000015</v>
      </c>
      <c r="H157" t="b">
        <f>Table_15[[#This Row],[Temps d''achat]]&gt;9.3</f>
        <v>0</v>
      </c>
      <c r="I157" t="b">
        <f>Table_15[[#This Row],[Temps d''achat]]&lt;4</f>
        <v>0</v>
      </c>
    </row>
    <row r="158" spans="1:9" x14ac:dyDescent="0.35">
      <c r="A158" s="43">
        <v>26</v>
      </c>
      <c r="B158" s="44">
        <v>6.21</v>
      </c>
      <c r="C158" s="45">
        <v>65.28</v>
      </c>
      <c r="D158" s="46" t="s">
        <v>22</v>
      </c>
      <c r="G158" s="47">
        <f t="shared" si="2"/>
        <v>9355.6000000000022</v>
      </c>
      <c r="H158" t="b">
        <f>Table_15[[#This Row],[Temps d''achat]]&gt;9.3</f>
        <v>0</v>
      </c>
      <c r="I158" t="b">
        <f>Table_15[[#This Row],[Temps d''achat]]&lt;4</f>
        <v>0</v>
      </c>
    </row>
    <row r="159" spans="1:9" x14ac:dyDescent="0.35">
      <c r="A159" s="39">
        <v>35</v>
      </c>
      <c r="B159" s="40">
        <v>8.3800000000000008</v>
      </c>
      <c r="C159" s="41">
        <v>100.78</v>
      </c>
      <c r="D159" s="42" t="s">
        <v>22</v>
      </c>
      <c r="G159" s="47">
        <f t="shared" si="2"/>
        <v>9430.3600000000024</v>
      </c>
      <c r="H159" t="b">
        <f>Table_15[[#This Row],[Temps d''achat]]&gt;9.3</f>
        <v>0</v>
      </c>
      <c r="I159" t="b">
        <f>Table_15[[#This Row],[Temps d''achat]]&lt;4</f>
        <v>0</v>
      </c>
    </row>
    <row r="160" spans="1:9" x14ac:dyDescent="0.35">
      <c r="A160" s="43">
        <v>51</v>
      </c>
      <c r="B160" s="44">
        <v>6.86</v>
      </c>
      <c r="C160" s="45">
        <v>74.760000000000005</v>
      </c>
      <c r="D160" s="46" t="s">
        <v>22</v>
      </c>
      <c r="G160" s="47">
        <f t="shared" si="2"/>
        <v>9484.3200000000015</v>
      </c>
      <c r="H160" t="b">
        <f>Table_15[[#This Row],[Temps d''achat]]&gt;9.3</f>
        <v>0</v>
      </c>
      <c r="I160" t="b">
        <f>Table_15[[#This Row],[Temps d''achat]]&lt;4</f>
        <v>0</v>
      </c>
    </row>
    <row r="161" spans="1:9" x14ac:dyDescent="0.35">
      <c r="A161" s="39">
        <v>27</v>
      </c>
      <c r="B161" s="40">
        <v>7.7</v>
      </c>
      <c r="C161" s="41">
        <v>53.96</v>
      </c>
      <c r="D161" s="42" t="s">
        <v>22</v>
      </c>
      <c r="G161" s="47">
        <f t="shared" si="2"/>
        <v>9546.8500000000022</v>
      </c>
      <c r="H161" t="b">
        <f>Table_15[[#This Row],[Temps d''achat]]&gt;9.3</f>
        <v>0</v>
      </c>
      <c r="I161" t="b">
        <f>Table_15[[#This Row],[Temps d''achat]]&lt;4</f>
        <v>0</v>
      </c>
    </row>
    <row r="162" spans="1:9" x14ac:dyDescent="0.35">
      <c r="A162" s="43">
        <v>39</v>
      </c>
      <c r="B162" s="44">
        <v>8.02</v>
      </c>
      <c r="C162" s="45">
        <v>62.53</v>
      </c>
      <c r="D162" s="46" t="s">
        <v>22</v>
      </c>
      <c r="G162" s="47">
        <f t="shared" si="2"/>
        <v>9630.0000000000018</v>
      </c>
      <c r="H162" t="b">
        <f>Table_15[[#This Row],[Temps d''achat]]&gt;9.3</f>
        <v>0</v>
      </c>
      <c r="I162" t="b">
        <f>Table_15[[#This Row],[Temps d''achat]]&lt;4</f>
        <v>0</v>
      </c>
    </row>
    <row r="163" spans="1:9" x14ac:dyDescent="0.35">
      <c r="A163" s="39">
        <v>26</v>
      </c>
      <c r="B163" s="40">
        <v>9.2100000000000009</v>
      </c>
      <c r="C163" s="41">
        <v>83.15</v>
      </c>
      <c r="D163" s="42" t="s">
        <v>22</v>
      </c>
      <c r="G163" s="47">
        <f t="shared" si="2"/>
        <v>9706.9600000000009</v>
      </c>
      <c r="H163" t="b">
        <f>Table_15[[#This Row],[Temps d''achat]]&gt;9.3</f>
        <v>0</v>
      </c>
      <c r="I163" t="b">
        <f>Table_15[[#This Row],[Temps d''achat]]&lt;4</f>
        <v>0</v>
      </c>
    </row>
    <row r="164" spans="1:9" x14ac:dyDescent="0.35">
      <c r="A164" s="43">
        <v>13</v>
      </c>
      <c r="B164" s="44">
        <v>8.24</v>
      </c>
      <c r="C164" s="45">
        <v>76.959999999999994</v>
      </c>
      <c r="D164" s="46" t="s">
        <v>22</v>
      </c>
      <c r="G164" s="47">
        <f t="shared" si="2"/>
        <v>9761.5300000000007</v>
      </c>
      <c r="H164" t="b">
        <f>Table_15[[#This Row],[Temps d''achat]]&gt;9.3</f>
        <v>0</v>
      </c>
      <c r="I164" t="b">
        <f>Table_15[[#This Row],[Temps d''achat]]&lt;4</f>
        <v>0</v>
      </c>
    </row>
    <row r="165" spans="1:9" x14ac:dyDescent="0.35">
      <c r="A165" s="39">
        <v>27</v>
      </c>
      <c r="B165" s="40">
        <v>6.63</v>
      </c>
      <c r="C165" s="41">
        <v>54.57</v>
      </c>
      <c r="D165" s="42" t="s">
        <v>22</v>
      </c>
      <c r="G165" s="47">
        <f t="shared" si="2"/>
        <v>9876.8200000000015</v>
      </c>
      <c r="H165" t="b">
        <f>Table_15[[#This Row],[Temps d''achat]]&gt;9.3</f>
        <v>0</v>
      </c>
      <c r="I165" t="b">
        <f>Table_15[[#This Row],[Temps d''achat]]&lt;4</f>
        <v>0</v>
      </c>
    </row>
    <row r="166" spans="1:9" x14ac:dyDescent="0.35">
      <c r="A166" s="43">
        <v>16</v>
      </c>
      <c r="B166" s="44">
        <v>8.2899999999999991</v>
      </c>
      <c r="C166" s="45">
        <v>115.29</v>
      </c>
      <c r="D166" s="46" t="s">
        <v>22</v>
      </c>
      <c r="G166" s="47">
        <f t="shared" si="2"/>
        <v>9965.2500000000018</v>
      </c>
      <c r="H166" t="b">
        <f>Table_15[[#This Row],[Temps d''achat]]&gt;9.3</f>
        <v>0</v>
      </c>
      <c r="I166" t="b">
        <f>Table_15[[#This Row],[Temps d''achat]]&lt;4</f>
        <v>0</v>
      </c>
    </row>
    <row r="167" spans="1:9" x14ac:dyDescent="0.35">
      <c r="A167" s="39">
        <v>23</v>
      </c>
      <c r="B167" s="40">
        <v>8.65</v>
      </c>
      <c r="C167" s="41">
        <v>88.43</v>
      </c>
      <c r="D167" s="42" t="s">
        <v>22</v>
      </c>
      <c r="G167" s="47">
        <f t="shared" si="2"/>
        <v>10027.560000000001</v>
      </c>
      <c r="H167" t="b">
        <f>Table_15[[#This Row],[Temps d''achat]]&gt;9.3</f>
        <v>0</v>
      </c>
      <c r="I167" t="b">
        <f>Table_15[[#This Row],[Temps d''achat]]&lt;4</f>
        <v>0</v>
      </c>
    </row>
    <row r="168" spans="1:9" x14ac:dyDescent="0.35">
      <c r="A168" s="43">
        <v>47</v>
      </c>
      <c r="B168" s="44">
        <v>9.2100000000000009</v>
      </c>
      <c r="C168" s="45">
        <v>62.31</v>
      </c>
      <c r="D168" s="46" t="s">
        <v>22</v>
      </c>
      <c r="G168" s="47">
        <f t="shared" si="2"/>
        <v>10056.880000000001</v>
      </c>
      <c r="H168" t="b">
        <f>Table_15[[#This Row],[Temps d''achat]]&gt;9.3</f>
        <v>0</v>
      </c>
      <c r="I168" t="b">
        <f>Table_15[[#This Row],[Temps d''achat]]&lt;4</f>
        <v>0</v>
      </c>
    </row>
    <row r="169" spans="1:9" x14ac:dyDescent="0.35">
      <c r="A169" s="39">
        <v>17</v>
      </c>
      <c r="B169" s="40">
        <v>9.0500000000000007</v>
      </c>
      <c r="C169" s="41">
        <v>29.32</v>
      </c>
      <c r="D169" s="42" t="s">
        <v>22</v>
      </c>
      <c r="G169" s="47">
        <f t="shared" si="2"/>
        <v>10124.240000000002</v>
      </c>
      <c r="H169" t="b">
        <f>Table_15[[#This Row],[Temps d''achat]]&gt;9.3</f>
        <v>0</v>
      </c>
      <c r="I169" t="b">
        <f>Table_15[[#This Row],[Temps d''achat]]&lt;4</f>
        <v>0</v>
      </c>
    </row>
    <row r="170" spans="1:9" x14ac:dyDescent="0.35">
      <c r="A170" s="43">
        <v>3</v>
      </c>
      <c r="B170" s="44">
        <v>7.71</v>
      </c>
      <c r="C170" s="45">
        <v>67.36</v>
      </c>
      <c r="D170" s="46" t="s">
        <v>22</v>
      </c>
      <c r="G170" s="47">
        <f t="shared" si="2"/>
        <v>10212.770000000002</v>
      </c>
      <c r="H170" t="b">
        <f>Table_15[[#This Row],[Temps d''achat]]&gt;9.3</f>
        <v>0</v>
      </c>
      <c r="I170" t="b">
        <f>Table_15[[#This Row],[Temps d''achat]]&lt;4</f>
        <v>0</v>
      </c>
    </row>
    <row r="171" spans="1:9" x14ac:dyDescent="0.35">
      <c r="A171" s="39">
        <v>38</v>
      </c>
      <c r="B171" s="40">
        <v>8.75</v>
      </c>
      <c r="C171" s="41">
        <v>88.53</v>
      </c>
      <c r="D171" s="42" t="s">
        <v>22</v>
      </c>
      <c r="G171" s="47">
        <f t="shared" si="2"/>
        <v>10265.740000000002</v>
      </c>
      <c r="H171" t="b">
        <f>Table_15[[#This Row],[Temps d''achat]]&gt;9.3</f>
        <v>0</v>
      </c>
      <c r="I171" t="b">
        <f>Table_15[[#This Row],[Temps d''achat]]&lt;4</f>
        <v>0</v>
      </c>
    </row>
    <row r="172" spans="1:9" x14ac:dyDescent="0.35">
      <c r="A172" s="43">
        <v>28</v>
      </c>
      <c r="B172" s="44">
        <v>7.97</v>
      </c>
      <c r="C172" s="45">
        <v>52.97</v>
      </c>
      <c r="D172" s="46" t="s">
        <v>22</v>
      </c>
      <c r="G172" s="47">
        <f t="shared" si="2"/>
        <v>10349.310000000001</v>
      </c>
      <c r="H172" t="b">
        <f>Table_15[[#This Row],[Temps d''achat]]&gt;9.3</f>
        <v>0</v>
      </c>
      <c r="I172" t="b">
        <f>Table_15[[#This Row],[Temps d''achat]]&lt;4</f>
        <v>0</v>
      </c>
    </row>
    <row r="173" spans="1:9" x14ac:dyDescent="0.35">
      <c r="A173" s="39">
        <v>47</v>
      </c>
      <c r="B173" s="40">
        <v>7.59</v>
      </c>
      <c r="C173" s="41">
        <v>83.57</v>
      </c>
      <c r="D173" s="42" t="s">
        <v>22</v>
      </c>
      <c r="G173" s="47">
        <f t="shared" si="2"/>
        <v>10441.790000000001</v>
      </c>
      <c r="H173" t="b">
        <f>Table_15[[#This Row],[Temps d''achat]]&gt;9.3</f>
        <v>0</v>
      </c>
      <c r="I173" t="b">
        <f>Table_15[[#This Row],[Temps d''achat]]&lt;4</f>
        <v>0</v>
      </c>
    </row>
    <row r="174" spans="1:9" x14ac:dyDescent="0.35">
      <c r="A174" s="43">
        <v>23</v>
      </c>
      <c r="B174" s="44">
        <v>8.18</v>
      </c>
      <c r="C174" s="45">
        <v>92.48</v>
      </c>
      <c r="D174" s="46" t="s">
        <v>22</v>
      </c>
      <c r="G174" s="47">
        <f t="shared" si="2"/>
        <v>10508.5</v>
      </c>
      <c r="H174" t="b">
        <f>Table_15[[#This Row],[Temps d''achat]]&gt;9.3</f>
        <v>0</v>
      </c>
      <c r="I174" t="b">
        <f>Table_15[[#This Row],[Temps d''achat]]&lt;4</f>
        <v>0</v>
      </c>
    </row>
    <row r="175" spans="1:9" x14ac:dyDescent="0.35">
      <c r="A175" s="39">
        <v>27</v>
      </c>
      <c r="B175" s="40">
        <v>9.25</v>
      </c>
      <c r="C175" s="41">
        <v>66.709999999999994</v>
      </c>
      <c r="D175" s="42" t="s">
        <v>22</v>
      </c>
      <c r="G175" s="47">
        <f t="shared" si="2"/>
        <v>10550.51</v>
      </c>
      <c r="H175" t="b">
        <f>Table_15[[#This Row],[Temps d''achat]]&gt;9.3</f>
        <v>0</v>
      </c>
      <c r="I175" t="b">
        <f>Table_15[[#This Row],[Temps d''achat]]&lt;4</f>
        <v>0</v>
      </c>
    </row>
    <row r="176" spans="1:9" x14ac:dyDescent="0.35">
      <c r="A176" s="43">
        <v>30</v>
      </c>
      <c r="B176" s="44">
        <v>4.54</v>
      </c>
      <c r="C176" s="45">
        <v>42.01</v>
      </c>
      <c r="D176" s="46" t="s">
        <v>22</v>
      </c>
      <c r="G176" s="47">
        <f t="shared" si="2"/>
        <v>10600.32</v>
      </c>
      <c r="H176" t="b">
        <f>Table_15[[#This Row],[Temps d''achat]]&gt;9.3</f>
        <v>0</v>
      </c>
      <c r="I176" t="b">
        <f>Table_15[[#This Row],[Temps d''achat]]&lt;4</f>
        <v>0</v>
      </c>
    </row>
    <row r="177" spans="1:9" x14ac:dyDescent="0.35">
      <c r="A177" s="39">
        <v>35</v>
      </c>
      <c r="B177" s="40">
        <v>4.68</v>
      </c>
      <c r="C177" s="41">
        <v>49.81</v>
      </c>
      <c r="D177" s="42" t="s">
        <v>22</v>
      </c>
      <c r="G177" s="47">
        <f t="shared" si="2"/>
        <v>10656.869999999999</v>
      </c>
      <c r="H177" t="b">
        <f>Table_15[[#This Row],[Temps d''achat]]&gt;9.3</f>
        <v>0</v>
      </c>
      <c r="I177" t="b">
        <f>Table_15[[#This Row],[Temps d''achat]]&lt;4</f>
        <v>0</v>
      </c>
    </row>
    <row r="178" spans="1:9" x14ac:dyDescent="0.35">
      <c r="A178" s="43">
        <v>25</v>
      </c>
      <c r="B178" s="44">
        <v>8.39</v>
      </c>
      <c r="C178" s="45">
        <v>56.55</v>
      </c>
      <c r="D178" s="46" t="s">
        <v>22</v>
      </c>
      <c r="G178" s="47">
        <f t="shared" si="2"/>
        <v>10701.079999999998</v>
      </c>
      <c r="H178" t="b">
        <f>Table_15[[#This Row],[Temps d''achat]]&gt;9.3</f>
        <v>0</v>
      </c>
      <c r="I178" t="b">
        <f>Table_15[[#This Row],[Temps d''achat]]&lt;4</f>
        <v>0</v>
      </c>
    </row>
    <row r="179" spans="1:9" x14ac:dyDescent="0.35">
      <c r="A179" s="39">
        <v>34</v>
      </c>
      <c r="B179" s="40">
        <v>4.03</v>
      </c>
      <c r="C179" s="41">
        <v>44.21</v>
      </c>
      <c r="D179" s="42" t="s">
        <v>22</v>
      </c>
      <c r="G179" s="47">
        <f t="shared" si="2"/>
        <v>10751.689999999999</v>
      </c>
      <c r="H179" t="b">
        <f>Table_15[[#This Row],[Temps d''achat]]&gt;9.3</f>
        <v>0</v>
      </c>
      <c r="I179" t="b">
        <f>Table_15[[#This Row],[Temps d''achat]]&lt;4</f>
        <v>0</v>
      </c>
    </row>
    <row r="180" spans="1:9" x14ac:dyDescent="0.35">
      <c r="A180" s="43">
        <v>9</v>
      </c>
      <c r="B180" s="44">
        <v>9.9600000000000009</v>
      </c>
      <c r="C180" s="53">
        <v>50.61</v>
      </c>
      <c r="D180" s="46" t="s">
        <v>22</v>
      </c>
      <c r="G180" s="47">
        <f t="shared" si="2"/>
        <v>10812.269999999999</v>
      </c>
      <c r="H180" t="b">
        <f>Table_15[[#This Row],[Temps d''achat]]&gt;9.3</f>
        <v>1</v>
      </c>
      <c r="I180" t="b">
        <f>Table_15[[#This Row],[Temps d''achat]]&lt;4</f>
        <v>0</v>
      </c>
    </row>
    <row r="181" spans="1:9" x14ac:dyDescent="0.35">
      <c r="A181" s="39">
        <v>30</v>
      </c>
      <c r="B181" s="40">
        <v>4.1500000000000004</v>
      </c>
      <c r="C181" s="41">
        <v>60.58</v>
      </c>
      <c r="D181" s="42" t="s">
        <v>22</v>
      </c>
      <c r="G181" s="47">
        <f t="shared" si="2"/>
        <v>10856.359999999999</v>
      </c>
      <c r="H181" t="b">
        <f>Table_15[[#This Row],[Temps d''achat]]&gt;9.3</f>
        <v>0</v>
      </c>
      <c r="I181" t="b">
        <f>Table_15[[#This Row],[Temps d''achat]]&lt;4</f>
        <v>0</v>
      </c>
    </row>
    <row r="182" spans="1:9" x14ac:dyDescent="0.35">
      <c r="A182" s="43">
        <v>54</v>
      </c>
      <c r="B182" s="44">
        <v>7.58</v>
      </c>
      <c r="C182" s="45">
        <v>44.09</v>
      </c>
      <c r="D182" s="46" t="s">
        <v>22</v>
      </c>
      <c r="G182" s="47">
        <f t="shared" si="2"/>
        <v>10931.39</v>
      </c>
      <c r="H182" t="b">
        <f>Table_15[[#This Row],[Temps d''achat]]&gt;9.3</f>
        <v>0</v>
      </c>
      <c r="I182" t="b">
        <f>Table_15[[#This Row],[Temps d''achat]]&lt;4</f>
        <v>0</v>
      </c>
    </row>
    <row r="183" spans="1:9" x14ac:dyDescent="0.35">
      <c r="A183" s="39">
        <v>18</v>
      </c>
      <c r="B183" s="40">
        <v>7.54</v>
      </c>
      <c r="C183" s="41">
        <v>75.03</v>
      </c>
      <c r="D183" s="42" t="s">
        <v>22</v>
      </c>
      <c r="G183" s="47">
        <f t="shared" si="2"/>
        <v>10976.21</v>
      </c>
      <c r="H183" t="b">
        <f>Table_15[[#This Row],[Temps d''achat]]&gt;9.3</f>
        <v>0</v>
      </c>
      <c r="I183" t="b">
        <f>Table_15[[#This Row],[Temps d''achat]]&lt;4</f>
        <v>0</v>
      </c>
    </row>
    <row r="184" spans="1:9" x14ac:dyDescent="0.35">
      <c r="A184" s="43">
        <v>51</v>
      </c>
      <c r="B184" s="44">
        <v>5.25</v>
      </c>
      <c r="C184" s="45">
        <v>44.82</v>
      </c>
      <c r="D184" s="46" t="s">
        <v>22</v>
      </c>
      <c r="G184" s="47">
        <f t="shared" si="2"/>
        <v>11062.439999999999</v>
      </c>
      <c r="H184" t="b">
        <f>Table_15[[#This Row],[Temps d''achat]]&gt;9.3</f>
        <v>0</v>
      </c>
      <c r="I184" t="b">
        <f>Table_15[[#This Row],[Temps d''achat]]&lt;4</f>
        <v>0</v>
      </c>
    </row>
    <row r="185" spans="1:9" x14ac:dyDescent="0.35">
      <c r="A185" s="39">
        <v>38</v>
      </c>
      <c r="B185" s="40">
        <v>7.21</v>
      </c>
      <c r="C185" s="41">
        <v>86.23</v>
      </c>
      <c r="D185" s="42" t="s">
        <v>22</v>
      </c>
      <c r="G185" s="47">
        <f t="shared" si="2"/>
        <v>11137.899999999998</v>
      </c>
      <c r="H185" t="b">
        <f>Table_15[[#This Row],[Temps d''achat]]&gt;9.3</f>
        <v>0</v>
      </c>
      <c r="I185" t="b">
        <f>Table_15[[#This Row],[Temps d''achat]]&lt;4</f>
        <v>0</v>
      </c>
    </row>
    <row r="186" spans="1:9" x14ac:dyDescent="0.35">
      <c r="A186" s="43">
        <v>4</v>
      </c>
      <c r="B186" s="44">
        <v>9.42</v>
      </c>
      <c r="C186" s="53">
        <v>75.459999999999994</v>
      </c>
      <c r="D186" s="46" t="s">
        <v>22</v>
      </c>
      <c r="G186" s="47">
        <f t="shared" si="2"/>
        <v>11170.949999999997</v>
      </c>
      <c r="H186" t="b">
        <f>Table_15[[#This Row],[Temps d''achat]]&gt;9.3</f>
        <v>1</v>
      </c>
      <c r="I186" t="b">
        <f>Table_15[[#This Row],[Temps d''achat]]&lt;4</f>
        <v>0</v>
      </c>
    </row>
    <row r="187" spans="1:9" x14ac:dyDescent="0.35">
      <c r="A187" s="39">
        <v>23</v>
      </c>
      <c r="B187" s="40">
        <v>6.68</v>
      </c>
      <c r="C187" s="41">
        <v>33.049999999999997</v>
      </c>
      <c r="D187" s="42" t="s">
        <v>22</v>
      </c>
      <c r="G187" s="47">
        <f t="shared" si="2"/>
        <v>11258.349999999997</v>
      </c>
      <c r="H187" t="b">
        <f>Table_15[[#This Row],[Temps d''achat]]&gt;9.3</f>
        <v>0</v>
      </c>
      <c r="I187" t="b">
        <f>Table_15[[#This Row],[Temps d''achat]]&lt;4</f>
        <v>0</v>
      </c>
    </row>
    <row r="188" spans="1:9" x14ac:dyDescent="0.35">
      <c r="A188" s="43">
        <v>26</v>
      </c>
      <c r="B188" s="44">
        <v>5.78</v>
      </c>
      <c r="C188" s="45">
        <v>87.4</v>
      </c>
      <c r="D188" s="46" t="s">
        <v>22</v>
      </c>
      <c r="G188" s="47">
        <f t="shared" si="2"/>
        <v>11298.539999999997</v>
      </c>
      <c r="H188" t="b">
        <f>Table_15[[#This Row],[Temps d''achat]]&gt;9.3</f>
        <v>0</v>
      </c>
      <c r="I188" t="b">
        <f>Table_15[[#This Row],[Temps d''achat]]&lt;4</f>
        <v>0</v>
      </c>
    </row>
    <row r="189" spans="1:9" x14ac:dyDescent="0.35">
      <c r="A189" s="39">
        <v>47</v>
      </c>
      <c r="B189" s="40">
        <v>5.23</v>
      </c>
      <c r="C189" s="41">
        <v>40.19</v>
      </c>
      <c r="D189" s="42" t="s">
        <v>22</v>
      </c>
      <c r="G189" s="47">
        <f t="shared" si="2"/>
        <v>11342.489999999998</v>
      </c>
      <c r="H189" t="b">
        <f>Table_15[[#This Row],[Temps d''achat]]&gt;9.3</f>
        <v>0</v>
      </c>
      <c r="I189" t="b">
        <f>Table_15[[#This Row],[Temps d''achat]]&lt;4</f>
        <v>0</v>
      </c>
    </row>
    <row r="190" spans="1:9" x14ac:dyDescent="0.35">
      <c r="A190" s="43">
        <v>22</v>
      </c>
      <c r="B190" s="44">
        <v>4.38</v>
      </c>
      <c r="C190" s="45">
        <v>43.95</v>
      </c>
      <c r="D190" s="46" t="s">
        <v>22</v>
      </c>
      <c r="G190" s="47">
        <f t="shared" si="2"/>
        <v>11403.549999999997</v>
      </c>
      <c r="H190" t="b">
        <f>Table_15[[#This Row],[Temps d''achat]]&gt;9.3</f>
        <v>0</v>
      </c>
      <c r="I190" t="b">
        <f>Table_15[[#This Row],[Temps d''achat]]&lt;4</f>
        <v>0</v>
      </c>
    </row>
    <row r="191" spans="1:9" x14ac:dyDescent="0.35">
      <c r="A191" s="39">
        <v>43</v>
      </c>
      <c r="B191" s="40">
        <v>9.01</v>
      </c>
      <c r="C191" s="41">
        <v>61.06</v>
      </c>
      <c r="D191" s="42" t="s">
        <v>22</v>
      </c>
      <c r="G191" s="47">
        <f t="shared" si="2"/>
        <v>11466.929999999997</v>
      </c>
      <c r="H191" t="b">
        <f>Table_15[[#This Row],[Temps d''achat]]&gt;9.3</f>
        <v>0</v>
      </c>
      <c r="I191" t="b">
        <f>Table_15[[#This Row],[Temps d''achat]]&lt;4</f>
        <v>0</v>
      </c>
    </row>
    <row r="192" spans="1:9" x14ac:dyDescent="0.35">
      <c r="A192" s="43">
        <v>4</v>
      </c>
      <c r="B192" s="44">
        <v>5.12</v>
      </c>
      <c r="C192" s="45">
        <v>63.38</v>
      </c>
      <c r="D192" s="46" t="s">
        <v>22</v>
      </c>
      <c r="G192" s="47">
        <f t="shared" si="2"/>
        <v>11474.929999999997</v>
      </c>
      <c r="H192" t="b">
        <f>Table_15[[#This Row],[Temps d''achat]]&gt;9.3</f>
        <v>0</v>
      </c>
      <c r="I192" t="b">
        <f>Table_15[[#This Row],[Temps d''achat]]&lt;4</f>
        <v>0</v>
      </c>
    </row>
    <row r="193" spans="1:9" x14ac:dyDescent="0.35">
      <c r="A193" s="39">
        <v>26</v>
      </c>
      <c r="B193" s="40">
        <v>4.18</v>
      </c>
      <c r="C193" s="41">
        <v>8</v>
      </c>
      <c r="D193" s="42" t="s">
        <v>22</v>
      </c>
      <c r="G193" s="47">
        <f t="shared" si="2"/>
        <v>11542.369999999997</v>
      </c>
      <c r="H193" t="b">
        <f>Table_15[[#This Row],[Temps d''achat]]&gt;9.3</f>
        <v>0</v>
      </c>
      <c r="I193" t="b">
        <f>Table_15[[#This Row],[Temps d''achat]]&lt;4</f>
        <v>0</v>
      </c>
    </row>
    <row r="194" spans="1:9" x14ac:dyDescent="0.35">
      <c r="A194" s="43">
        <v>47</v>
      </c>
      <c r="B194" s="44">
        <v>6.36</v>
      </c>
      <c r="C194" s="45">
        <v>67.44</v>
      </c>
      <c r="D194" s="46" t="s">
        <v>22</v>
      </c>
      <c r="G194" s="47">
        <f t="shared" si="2"/>
        <v>11624.419999999996</v>
      </c>
      <c r="H194" t="b">
        <f>Table_15[[#This Row],[Temps d''achat]]&gt;9.3</f>
        <v>0</v>
      </c>
      <c r="I194" t="b">
        <f>Table_15[[#This Row],[Temps d''achat]]&lt;4</f>
        <v>0</v>
      </c>
    </row>
    <row r="195" spans="1:9" x14ac:dyDescent="0.35">
      <c r="A195" s="39">
        <v>13</v>
      </c>
      <c r="B195" s="40">
        <v>4.08</v>
      </c>
      <c r="C195" s="41">
        <v>82.05</v>
      </c>
      <c r="D195" s="42" t="s">
        <v>22</v>
      </c>
      <c r="G195" s="47">
        <f t="shared" si="2"/>
        <v>11666.749999999996</v>
      </c>
      <c r="H195" t="b">
        <f>Table_15[[#This Row],[Temps d''achat]]&gt;9.3</f>
        <v>0</v>
      </c>
      <c r="I195" t="b">
        <f>Table_15[[#This Row],[Temps d''achat]]&lt;4</f>
        <v>0</v>
      </c>
    </row>
    <row r="196" spans="1:9" x14ac:dyDescent="0.35">
      <c r="A196" s="43">
        <v>59</v>
      </c>
      <c r="B196" s="44">
        <v>8.5399999999999991</v>
      </c>
      <c r="C196" s="45">
        <v>42.33</v>
      </c>
      <c r="D196" s="46" t="s">
        <v>22</v>
      </c>
      <c r="G196" s="47">
        <f t="shared" si="2"/>
        <v>11713.309999999996</v>
      </c>
      <c r="H196" t="b">
        <f>Table_15[[#This Row],[Temps d''achat]]&gt;9.3</f>
        <v>0</v>
      </c>
      <c r="I196" t="b">
        <f>Table_15[[#This Row],[Temps d''achat]]&lt;4</f>
        <v>0</v>
      </c>
    </row>
    <row r="197" spans="1:9" x14ac:dyDescent="0.35">
      <c r="A197" s="39">
        <v>39</v>
      </c>
      <c r="B197" s="40">
        <v>5.38</v>
      </c>
      <c r="C197" s="41">
        <v>46.56</v>
      </c>
      <c r="D197" s="42" t="s">
        <v>22</v>
      </c>
      <c r="G197" s="47">
        <f t="shared" ref="G197:G212" si="3">G196+C198</f>
        <v>11755.319999999996</v>
      </c>
      <c r="H197" t="b">
        <f>Table_15[[#This Row],[Temps d''achat]]&gt;9.3</f>
        <v>0</v>
      </c>
      <c r="I197" t="b">
        <f>Table_15[[#This Row],[Temps d''achat]]&lt;4</f>
        <v>0</v>
      </c>
    </row>
    <row r="198" spans="1:9" x14ac:dyDescent="0.35">
      <c r="A198" s="43">
        <v>38</v>
      </c>
      <c r="B198" s="44">
        <v>5.5</v>
      </c>
      <c r="C198" s="45">
        <v>42.01</v>
      </c>
      <c r="D198" s="46" t="s">
        <v>22</v>
      </c>
      <c r="G198" s="47">
        <f t="shared" si="3"/>
        <v>11786.529999999995</v>
      </c>
      <c r="H198" t="b">
        <f>Table_15[[#This Row],[Temps d''achat]]&gt;9.3</f>
        <v>0</v>
      </c>
      <c r="I198" t="b">
        <f>Table_15[[#This Row],[Temps d''achat]]&lt;4</f>
        <v>0</v>
      </c>
    </row>
    <row r="199" spans="1:9" x14ac:dyDescent="0.35">
      <c r="A199" s="39">
        <v>47</v>
      </c>
      <c r="B199" s="40">
        <v>5.03</v>
      </c>
      <c r="C199" s="41">
        <v>31.21</v>
      </c>
      <c r="D199" s="42" t="s">
        <v>22</v>
      </c>
      <c r="G199" s="47">
        <f t="shared" si="3"/>
        <v>11832.769999999995</v>
      </c>
      <c r="H199" t="b">
        <f>Table_15[[#This Row],[Temps d''achat]]&gt;9.3</f>
        <v>0</v>
      </c>
      <c r="I199" t="b">
        <f>Table_15[[#This Row],[Temps d''achat]]&lt;4</f>
        <v>0</v>
      </c>
    </row>
    <row r="200" spans="1:9" x14ac:dyDescent="0.35">
      <c r="A200" s="43">
        <v>60</v>
      </c>
      <c r="B200" s="44">
        <v>4.6900000000000004</v>
      </c>
      <c r="C200" s="45">
        <v>46.24</v>
      </c>
      <c r="D200" s="46" t="s">
        <v>22</v>
      </c>
      <c r="G200" s="47">
        <f t="shared" si="3"/>
        <v>11883.099999999995</v>
      </c>
      <c r="H200" t="b">
        <f>Table_15[[#This Row],[Temps d''achat]]&gt;9.3</f>
        <v>0</v>
      </c>
      <c r="I200" t="b">
        <f>Table_15[[#This Row],[Temps d''achat]]&lt;4</f>
        <v>0</v>
      </c>
    </row>
    <row r="201" spans="1:9" x14ac:dyDescent="0.35">
      <c r="A201" s="39">
        <v>23</v>
      </c>
      <c r="B201" s="40">
        <v>4.34</v>
      </c>
      <c r="C201" s="41">
        <v>50.33</v>
      </c>
      <c r="D201" s="42" t="s">
        <v>22</v>
      </c>
      <c r="G201" s="47">
        <f t="shared" si="3"/>
        <v>12001.639999999996</v>
      </c>
      <c r="H201" t="b">
        <f>Table_15[[#This Row],[Temps d''achat]]&gt;9.3</f>
        <v>0</v>
      </c>
      <c r="I201" t="b">
        <f>Table_15[[#This Row],[Temps d''achat]]&lt;4</f>
        <v>0</v>
      </c>
    </row>
    <row r="202" spans="1:9" x14ac:dyDescent="0.35">
      <c r="A202" s="43">
        <v>3</v>
      </c>
      <c r="B202" s="44">
        <v>8.93</v>
      </c>
      <c r="C202" s="45">
        <v>118.54</v>
      </c>
      <c r="D202" s="46" t="s">
        <v>22</v>
      </c>
      <c r="G202" s="47">
        <f t="shared" si="3"/>
        <v>12067.849999999995</v>
      </c>
      <c r="H202" t="b">
        <f>Table_15[[#This Row],[Temps d''achat]]&gt;9.3</f>
        <v>0</v>
      </c>
      <c r="I202" t="b">
        <f>Table_15[[#This Row],[Temps d''achat]]&lt;4</f>
        <v>0</v>
      </c>
    </row>
    <row r="203" spans="1:9" x14ac:dyDescent="0.35">
      <c r="A203" s="39">
        <v>7</v>
      </c>
      <c r="B203" s="40">
        <v>7.91</v>
      </c>
      <c r="C203" s="41">
        <v>66.209999999999994</v>
      </c>
      <c r="D203" s="42" t="s">
        <v>22</v>
      </c>
      <c r="G203" s="47">
        <f t="shared" si="3"/>
        <v>12125.379999999996</v>
      </c>
      <c r="H203" t="b">
        <f>Table_15[[#This Row],[Temps d''achat]]&gt;9.3</f>
        <v>0</v>
      </c>
      <c r="I203" t="b">
        <f>Table_15[[#This Row],[Temps d''achat]]&lt;4</f>
        <v>0</v>
      </c>
    </row>
    <row r="204" spans="1:9" x14ac:dyDescent="0.35">
      <c r="A204" s="43">
        <v>24</v>
      </c>
      <c r="B204" s="44">
        <v>4.67</v>
      </c>
      <c r="C204" s="45">
        <v>57.53</v>
      </c>
      <c r="D204" s="46" t="s">
        <v>22</v>
      </c>
      <c r="G204" s="47">
        <f t="shared" si="3"/>
        <v>12188.089999999995</v>
      </c>
      <c r="H204" t="b">
        <f>Table_15[[#This Row],[Temps d''achat]]&gt;9.3</f>
        <v>0</v>
      </c>
      <c r="I204" t="b">
        <f>Table_15[[#This Row],[Temps d''achat]]&lt;4</f>
        <v>0</v>
      </c>
    </row>
    <row r="205" spans="1:9" x14ac:dyDescent="0.35">
      <c r="A205" s="39">
        <v>24</v>
      </c>
      <c r="B205" s="40">
        <v>9.91</v>
      </c>
      <c r="C205" s="52">
        <v>62.71</v>
      </c>
      <c r="D205" s="42" t="s">
        <v>22</v>
      </c>
      <c r="G205" s="47">
        <f t="shared" si="3"/>
        <v>12238.709999999995</v>
      </c>
      <c r="H205" t="b">
        <f>Table_15[[#This Row],[Temps d''achat]]&gt;9.3</f>
        <v>1</v>
      </c>
      <c r="I205" t="b">
        <f>Table_15[[#This Row],[Temps d''achat]]&lt;4</f>
        <v>0</v>
      </c>
    </row>
    <row r="206" spans="1:9" x14ac:dyDescent="0.35">
      <c r="A206" s="43">
        <v>11</v>
      </c>
      <c r="B206" s="44">
        <v>6.33</v>
      </c>
      <c r="C206" s="45">
        <v>50.62</v>
      </c>
      <c r="D206" s="46" t="s">
        <v>22</v>
      </c>
      <c r="G206" s="47">
        <f t="shared" si="3"/>
        <v>12331.719999999996</v>
      </c>
      <c r="H206" t="b">
        <f>Table_15[[#This Row],[Temps d''achat]]&gt;9.3</f>
        <v>0</v>
      </c>
      <c r="I206" t="b">
        <f>Table_15[[#This Row],[Temps d''achat]]&lt;4</f>
        <v>0</v>
      </c>
    </row>
    <row r="207" spans="1:9" x14ac:dyDescent="0.35">
      <c r="A207" s="39">
        <v>25</v>
      </c>
      <c r="B207" s="40">
        <v>9.67</v>
      </c>
      <c r="C207" s="52">
        <v>93.01</v>
      </c>
      <c r="D207" s="42" t="s">
        <v>22</v>
      </c>
      <c r="G207" s="47">
        <f t="shared" si="3"/>
        <v>12398.579999999996</v>
      </c>
      <c r="H207" t="b">
        <f>Table_15[[#This Row],[Temps d''achat]]&gt;9.3</f>
        <v>1</v>
      </c>
      <c r="I207" t="b">
        <f>Table_15[[#This Row],[Temps d''achat]]&lt;4</f>
        <v>0</v>
      </c>
    </row>
    <row r="208" spans="1:9" x14ac:dyDescent="0.35">
      <c r="A208" s="43">
        <v>7</v>
      </c>
      <c r="B208" s="44">
        <v>5.36</v>
      </c>
      <c r="C208" s="45">
        <v>66.86</v>
      </c>
      <c r="D208" s="46" t="s">
        <v>22</v>
      </c>
      <c r="G208" s="47">
        <f t="shared" si="3"/>
        <v>12425.209999999995</v>
      </c>
      <c r="H208" t="b">
        <f>Table_15[[#This Row],[Temps d''achat]]&gt;9.3</f>
        <v>0</v>
      </c>
      <c r="I208" t="b">
        <f>Table_15[[#This Row],[Temps d''achat]]&lt;4</f>
        <v>0</v>
      </c>
    </row>
    <row r="209" spans="1:9" x14ac:dyDescent="0.35">
      <c r="A209" s="39">
        <v>31</v>
      </c>
      <c r="B209" s="40">
        <v>4.13</v>
      </c>
      <c r="C209" s="41">
        <v>26.63</v>
      </c>
      <c r="D209" s="42" t="s">
        <v>22</v>
      </c>
      <c r="G209" s="47">
        <f t="shared" si="3"/>
        <v>12505.639999999996</v>
      </c>
      <c r="H209" t="b">
        <f>Table_15[[#This Row],[Temps d''achat]]&gt;9.3</f>
        <v>0</v>
      </c>
      <c r="I209" t="b">
        <f>Table_15[[#This Row],[Temps d''achat]]&lt;4</f>
        <v>0</v>
      </c>
    </row>
    <row r="210" spans="1:9" x14ac:dyDescent="0.35">
      <c r="A210" s="43">
        <v>20</v>
      </c>
      <c r="B210" s="44">
        <v>7.36</v>
      </c>
      <c r="C210" s="45">
        <v>80.430000000000007</v>
      </c>
      <c r="D210" s="46" t="s">
        <v>22</v>
      </c>
      <c r="G210" s="47">
        <f t="shared" si="3"/>
        <v>12600.909999999996</v>
      </c>
      <c r="H210" t="b">
        <f>Table_15[[#This Row],[Temps d''achat]]&gt;9.3</f>
        <v>0</v>
      </c>
      <c r="I210" t="b">
        <f>Table_15[[#This Row],[Temps d''achat]]&lt;4</f>
        <v>0</v>
      </c>
    </row>
    <row r="211" spans="1:9" x14ac:dyDescent="0.35">
      <c r="A211" s="43">
        <v>44</v>
      </c>
      <c r="B211" s="44">
        <v>6.44</v>
      </c>
      <c r="C211" s="45">
        <v>95.27</v>
      </c>
      <c r="D211" s="46" t="s">
        <v>22</v>
      </c>
      <c r="G211" s="47">
        <f t="shared" si="3"/>
        <v>12636.689999999997</v>
      </c>
      <c r="H211" t="b">
        <f>Table_15[[#This Row],[Temps d''achat]]&gt;9.3</f>
        <v>0</v>
      </c>
      <c r="I211" t="b">
        <f>Table_15[[#This Row],[Temps d''achat]]&lt;4</f>
        <v>0</v>
      </c>
    </row>
    <row r="212" spans="1:9" x14ac:dyDescent="0.35">
      <c r="A212" s="39">
        <v>15</v>
      </c>
      <c r="B212" s="40">
        <v>4.1399999999999997</v>
      </c>
      <c r="C212" s="41">
        <v>35.78</v>
      </c>
      <c r="D212" s="42" t="s">
        <v>22</v>
      </c>
      <c r="G212" s="47">
        <f t="shared" si="3"/>
        <v>12715.979999999998</v>
      </c>
      <c r="H212" t="b">
        <f>Table_15[[#This Row],[Temps d''achat]]&gt;9.3</f>
        <v>0</v>
      </c>
      <c r="I212" t="b">
        <f>Table_15[[#This Row],[Temps d''achat]]&lt;4</f>
        <v>0</v>
      </c>
    </row>
    <row r="213" spans="1:9" x14ac:dyDescent="0.35">
      <c r="A213" s="43">
        <v>35</v>
      </c>
      <c r="B213" s="44">
        <v>6.63</v>
      </c>
      <c r="C213" s="45">
        <v>79.290000000000006</v>
      </c>
      <c r="D213" s="46" t="s">
        <v>22</v>
      </c>
      <c r="G213" s="47">
        <f>G212+C214</f>
        <v>12786.039999999997</v>
      </c>
      <c r="H213" t="b">
        <f>Table_15[[#This Row],[Temps d''achat]]&gt;9.3</f>
        <v>0</v>
      </c>
      <c r="I213" t="b">
        <f>Table_15[[#This Row],[Temps d''achat]]&lt;4</f>
        <v>0</v>
      </c>
    </row>
    <row r="214" spans="1:9" x14ac:dyDescent="0.35">
      <c r="A214" s="39">
        <v>42</v>
      </c>
      <c r="B214" s="40">
        <v>7.68</v>
      </c>
      <c r="C214" s="41">
        <v>70.06</v>
      </c>
      <c r="D214" s="42" t="s">
        <v>22</v>
      </c>
      <c r="G214" s="47">
        <f>G213+C215</f>
        <v>12855.099999999997</v>
      </c>
      <c r="H214" t="b">
        <f>Table_15[[#This Row],[Temps d''achat]]&gt;9.3</f>
        <v>0</v>
      </c>
      <c r="I214" t="b">
        <f>Table_15[[#This Row],[Temps d''achat]]&lt;4</f>
        <v>0</v>
      </c>
    </row>
    <row r="215" spans="1:9" x14ac:dyDescent="0.35">
      <c r="A215" s="43">
        <v>33</v>
      </c>
      <c r="B215" s="44">
        <v>8.4700000000000006</v>
      </c>
      <c r="C215" s="45">
        <v>69.06</v>
      </c>
      <c r="D215" s="46" t="s">
        <v>22</v>
      </c>
      <c r="G215" s="47">
        <f t="shared" ref="G215:G246" si="4">G214+C216</f>
        <v>12901.019999999997</v>
      </c>
      <c r="H215" t="b">
        <f>Table_15[[#This Row],[Temps d''achat]]&gt;9.3</f>
        <v>0</v>
      </c>
      <c r="I215" t="b">
        <f>Table_15[[#This Row],[Temps d''achat]]&lt;4</f>
        <v>0</v>
      </c>
    </row>
    <row r="216" spans="1:9" x14ac:dyDescent="0.35">
      <c r="A216" s="39">
        <v>12</v>
      </c>
      <c r="B216" s="40">
        <v>4.5199999999999996</v>
      </c>
      <c r="C216" s="41">
        <v>45.92</v>
      </c>
      <c r="D216" s="42" t="s">
        <v>22</v>
      </c>
      <c r="G216" s="47">
        <f t="shared" si="4"/>
        <v>12990.999999999996</v>
      </c>
      <c r="H216" t="b">
        <f>Table_15[[#This Row],[Temps d''achat]]&gt;9.3</f>
        <v>0</v>
      </c>
      <c r="I216" t="b">
        <f>Table_15[[#This Row],[Temps d''achat]]&lt;4</f>
        <v>0</v>
      </c>
    </row>
    <row r="217" spans="1:9" x14ac:dyDescent="0.35">
      <c r="A217" s="43">
        <v>8</v>
      </c>
      <c r="B217" s="44">
        <v>8.39</v>
      </c>
      <c r="C217" s="45">
        <v>89.98</v>
      </c>
      <c r="D217" s="46" t="s">
        <v>22</v>
      </c>
      <c r="G217" s="47">
        <f t="shared" si="4"/>
        <v>13046.499999999996</v>
      </c>
      <c r="H217" t="b">
        <f>Table_15[[#This Row],[Temps d''achat]]&gt;9.3</f>
        <v>0</v>
      </c>
      <c r="I217" t="b">
        <f>Table_15[[#This Row],[Temps d''achat]]&lt;4</f>
        <v>0</v>
      </c>
    </row>
    <row r="218" spans="1:9" x14ac:dyDescent="0.35">
      <c r="A218" s="39">
        <v>28</v>
      </c>
      <c r="B218" s="40">
        <v>8.86</v>
      </c>
      <c r="C218" s="41">
        <v>55.5</v>
      </c>
      <c r="D218" s="42" t="s">
        <v>22</v>
      </c>
      <c r="G218" s="47">
        <f t="shared" si="4"/>
        <v>13137.489999999996</v>
      </c>
      <c r="H218" t="b">
        <f>Table_15[[#This Row],[Temps d''achat]]&gt;9.3</f>
        <v>0</v>
      </c>
      <c r="I218" t="b">
        <f>Table_15[[#This Row],[Temps d''achat]]&lt;4</f>
        <v>0</v>
      </c>
    </row>
    <row r="219" spans="1:9" x14ac:dyDescent="0.35">
      <c r="A219" s="43">
        <v>2</v>
      </c>
      <c r="B219" s="44">
        <v>9.4600000000000009</v>
      </c>
      <c r="C219" s="53">
        <v>90.99</v>
      </c>
      <c r="D219" s="46" t="s">
        <v>22</v>
      </c>
      <c r="G219" s="47">
        <f t="shared" si="4"/>
        <v>13213.499999999996</v>
      </c>
      <c r="H219" t="b">
        <f>Table_15[[#This Row],[Temps d''achat]]&gt;9.3</f>
        <v>1</v>
      </c>
      <c r="I219" t="b">
        <f>Table_15[[#This Row],[Temps d''achat]]&lt;4</f>
        <v>0</v>
      </c>
    </row>
    <row r="220" spans="1:9" x14ac:dyDescent="0.35">
      <c r="A220" s="39">
        <v>9</v>
      </c>
      <c r="B220" s="40">
        <v>6.5</v>
      </c>
      <c r="C220" s="41">
        <v>76.010000000000005</v>
      </c>
      <c r="D220" s="42" t="s">
        <v>22</v>
      </c>
      <c r="G220" s="47">
        <f t="shared" si="4"/>
        <v>13247.779999999997</v>
      </c>
      <c r="H220" t="b">
        <f>Table_15[[#This Row],[Temps d''achat]]&gt;9.3</f>
        <v>0</v>
      </c>
      <c r="I220" t="b">
        <f>Table_15[[#This Row],[Temps d''achat]]&lt;4</f>
        <v>0</v>
      </c>
    </row>
    <row r="221" spans="1:9" x14ac:dyDescent="0.35">
      <c r="A221" s="43">
        <v>27</v>
      </c>
      <c r="B221" s="44">
        <v>6.63</v>
      </c>
      <c r="C221" s="45">
        <v>34.28</v>
      </c>
      <c r="D221" s="46" t="s">
        <v>22</v>
      </c>
      <c r="G221" s="47">
        <f t="shared" si="4"/>
        <v>13320.339999999997</v>
      </c>
      <c r="H221" t="b">
        <f>Table_15[[#This Row],[Temps d''achat]]&gt;9.3</f>
        <v>0</v>
      </c>
      <c r="I221" t="b">
        <f>Table_15[[#This Row],[Temps d''achat]]&lt;4</f>
        <v>0</v>
      </c>
    </row>
    <row r="222" spans="1:9" x14ac:dyDescent="0.35">
      <c r="A222" s="43">
        <v>33</v>
      </c>
      <c r="B222" s="44">
        <v>9.19</v>
      </c>
      <c r="C222" s="45">
        <v>72.56</v>
      </c>
      <c r="D222" s="46" t="s">
        <v>22</v>
      </c>
      <c r="G222" s="47">
        <f t="shared" si="4"/>
        <v>13369.609999999997</v>
      </c>
      <c r="H222" t="b">
        <f>Table_15[[#This Row],[Temps d''achat]]&gt;9.3</f>
        <v>0</v>
      </c>
      <c r="I222" t="b">
        <f>Table_15[[#This Row],[Temps d''achat]]&lt;4</f>
        <v>0</v>
      </c>
    </row>
    <row r="223" spans="1:9" x14ac:dyDescent="0.35">
      <c r="A223" s="39">
        <v>23</v>
      </c>
      <c r="B223" s="40">
        <v>4.1500000000000004</v>
      </c>
      <c r="C223" s="41">
        <v>49.27</v>
      </c>
      <c r="D223" s="42" t="s">
        <v>22</v>
      </c>
      <c r="G223" s="47">
        <f t="shared" si="4"/>
        <v>13434.819999999996</v>
      </c>
      <c r="H223" t="b">
        <f>Table_15[[#This Row],[Temps d''achat]]&gt;9.3</f>
        <v>0</v>
      </c>
      <c r="I223" t="b">
        <f>Table_15[[#This Row],[Temps d''achat]]&lt;4</f>
        <v>0</v>
      </c>
    </row>
    <row r="224" spans="1:9" x14ac:dyDescent="0.35">
      <c r="A224" s="43">
        <v>48</v>
      </c>
      <c r="B224" s="44">
        <v>6.09</v>
      </c>
      <c r="C224" s="45">
        <v>65.209999999999994</v>
      </c>
      <c r="D224" s="46" t="s">
        <v>22</v>
      </c>
      <c r="G224" s="47">
        <f t="shared" si="4"/>
        <v>13521.279999999995</v>
      </c>
      <c r="H224" t="b">
        <f>Table_15[[#This Row],[Temps d''achat]]&gt;9.3</f>
        <v>0</v>
      </c>
      <c r="I224" t="b">
        <f>Table_15[[#This Row],[Temps d''achat]]&lt;4</f>
        <v>0</v>
      </c>
    </row>
    <row r="225" spans="1:9" x14ac:dyDescent="0.35">
      <c r="A225" s="39">
        <v>28</v>
      </c>
      <c r="B225" s="40">
        <v>7.41</v>
      </c>
      <c r="C225" s="41">
        <v>86.46</v>
      </c>
      <c r="D225" s="42" t="s">
        <v>22</v>
      </c>
      <c r="G225" s="47">
        <f t="shared" si="4"/>
        <v>13567.039999999995</v>
      </c>
      <c r="H225" t="b">
        <f>Table_15[[#This Row],[Temps d''achat]]&gt;9.3</f>
        <v>0</v>
      </c>
      <c r="I225" t="b">
        <f>Table_15[[#This Row],[Temps d''achat]]&lt;4</f>
        <v>0</v>
      </c>
    </row>
    <row r="226" spans="1:9" x14ac:dyDescent="0.35">
      <c r="A226" s="43">
        <v>9</v>
      </c>
      <c r="B226" s="44">
        <v>5.47</v>
      </c>
      <c r="C226" s="45">
        <v>45.76</v>
      </c>
      <c r="D226" s="46" t="s">
        <v>22</v>
      </c>
      <c r="G226" s="47">
        <f t="shared" si="4"/>
        <v>13597.779999999995</v>
      </c>
      <c r="H226" t="b">
        <f>Table_15[[#This Row],[Temps d''achat]]&gt;9.3</f>
        <v>0</v>
      </c>
      <c r="I226" t="b">
        <f>Table_15[[#This Row],[Temps d''achat]]&lt;4</f>
        <v>0</v>
      </c>
    </row>
    <row r="227" spans="1:9" x14ac:dyDescent="0.35">
      <c r="A227" s="39">
        <v>31</v>
      </c>
      <c r="B227" s="40">
        <v>4.6500000000000004</v>
      </c>
      <c r="C227" s="41">
        <v>30.74</v>
      </c>
      <c r="D227" s="42" t="s">
        <v>22</v>
      </c>
      <c r="G227" s="47">
        <f t="shared" si="4"/>
        <v>13678.859999999995</v>
      </c>
      <c r="H227" t="b">
        <f>Table_15[[#This Row],[Temps d''achat]]&gt;9.3</f>
        <v>0</v>
      </c>
      <c r="I227" t="b">
        <f>Table_15[[#This Row],[Temps d''achat]]&lt;4</f>
        <v>0</v>
      </c>
    </row>
    <row r="228" spans="1:9" x14ac:dyDescent="0.35">
      <c r="A228" s="43">
        <v>35</v>
      </c>
      <c r="B228" s="44">
        <v>7.69</v>
      </c>
      <c r="C228" s="45">
        <v>81.08</v>
      </c>
      <c r="D228" s="46" t="s">
        <v>22</v>
      </c>
      <c r="G228" s="47">
        <f t="shared" si="4"/>
        <v>13729.859999999995</v>
      </c>
      <c r="H228" t="b">
        <f>Table_15[[#This Row],[Temps d''achat]]&gt;9.3</f>
        <v>0</v>
      </c>
      <c r="I228" t="b">
        <f>Table_15[[#This Row],[Temps d''achat]]&lt;4</f>
        <v>0</v>
      </c>
    </row>
    <row r="229" spans="1:9" x14ac:dyDescent="0.35">
      <c r="A229" s="39">
        <v>38</v>
      </c>
      <c r="B229" s="40">
        <v>4.75</v>
      </c>
      <c r="C229" s="41">
        <v>51</v>
      </c>
      <c r="D229" s="42" t="s">
        <v>22</v>
      </c>
      <c r="G229" s="47">
        <f t="shared" si="4"/>
        <v>13797.219999999996</v>
      </c>
      <c r="H229" t="b">
        <f>Table_15[[#This Row],[Temps d''achat]]&gt;9.3</f>
        <v>0</v>
      </c>
      <c r="I229" t="b">
        <f>Table_15[[#This Row],[Temps d''achat]]&lt;4</f>
        <v>0</v>
      </c>
    </row>
    <row r="230" spans="1:9" x14ac:dyDescent="0.35">
      <c r="A230" s="43">
        <v>41</v>
      </c>
      <c r="B230" s="44">
        <v>8.68</v>
      </c>
      <c r="C230" s="45">
        <v>67.36</v>
      </c>
      <c r="D230" s="46" t="s">
        <v>22</v>
      </c>
      <c r="G230" s="47">
        <f t="shared" si="4"/>
        <v>13847.509999999997</v>
      </c>
      <c r="H230" t="b">
        <f>Table_15[[#This Row],[Temps d''achat]]&gt;9.3</f>
        <v>0</v>
      </c>
      <c r="I230" t="b">
        <f>Table_15[[#This Row],[Temps d''achat]]&lt;4</f>
        <v>0</v>
      </c>
    </row>
    <row r="231" spans="1:9" x14ac:dyDescent="0.35">
      <c r="A231" s="39">
        <v>33</v>
      </c>
      <c r="B231" s="40">
        <v>7.6</v>
      </c>
      <c r="C231" s="41">
        <v>50.29</v>
      </c>
      <c r="D231" s="42" t="s">
        <v>22</v>
      </c>
      <c r="G231" s="47">
        <f t="shared" si="4"/>
        <v>13931.269999999997</v>
      </c>
      <c r="H231" t="b">
        <f>Table_15[[#This Row],[Temps d''achat]]&gt;9.3</f>
        <v>0</v>
      </c>
      <c r="I231" t="b">
        <f>Table_15[[#This Row],[Temps d''achat]]&lt;4</f>
        <v>0</v>
      </c>
    </row>
    <row r="232" spans="1:9" x14ac:dyDescent="0.35">
      <c r="A232" s="43">
        <v>30</v>
      </c>
      <c r="B232" s="44">
        <v>9.2200000000000006</v>
      </c>
      <c r="C232" s="45">
        <v>83.76</v>
      </c>
      <c r="D232" s="46" t="s">
        <v>22</v>
      </c>
      <c r="G232" s="47">
        <f t="shared" si="4"/>
        <v>13952.729999999996</v>
      </c>
      <c r="H232" t="b">
        <f>Table_15[[#This Row],[Temps d''achat]]&gt;9.3</f>
        <v>0</v>
      </c>
      <c r="I232" t="b">
        <f>Table_15[[#This Row],[Temps d''achat]]&lt;4</f>
        <v>0</v>
      </c>
    </row>
    <row r="233" spans="1:9" x14ac:dyDescent="0.35">
      <c r="A233" s="39">
        <v>10</v>
      </c>
      <c r="B233" s="40">
        <v>5.46</v>
      </c>
      <c r="C233" s="41">
        <v>21.46</v>
      </c>
      <c r="D233" s="42" t="s">
        <v>22</v>
      </c>
      <c r="G233" s="47">
        <f t="shared" si="4"/>
        <v>14005.239999999996</v>
      </c>
      <c r="H233" t="b">
        <f>Table_15[[#This Row],[Temps d''achat]]&gt;9.3</f>
        <v>0</v>
      </c>
      <c r="I233" t="b">
        <f>Table_15[[#This Row],[Temps d''achat]]&lt;4</f>
        <v>0</v>
      </c>
    </row>
    <row r="234" spans="1:9" x14ac:dyDescent="0.35">
      <c r="A234" s="43">
        <v>18</v>
      </c>
      <c r="B234" s="44">
        <v>4.3</v>
      </c>
      <c r="C234" s="45">
        <v>52.51</v>
      </c>
      <c r="D234" s="46" t="s">
        <v>22</v>
      </c>
      <c r="G234" s="47">
        <f t="shared" si="4"/>
        <v>14029.869999999995</v>
      </c>
      <c r="H234" t="b">
        <f>Table_15[[#This Row],[Temps d''achat]]&gt;9.3</f>
        <v>0</v>
      </c>
      <c r="I234" t="b">
        <f>Table_15[[#This Row],[Temps d''achat]]&lt;4</f>
        <v>0</v>
      </c>
    </row>
    <row r="235" spans="1:9" x14ac:dyDescent="0.35">
      <c r="A235" s="39">
        <v>40</v>
      </c>
      <c r="B235" s="40">
        <v>4.4400000000000004</v>
      </c>
      <c r="C235" s="41">
        <v>24.63</v>
      </c>
      <c r="D235" s="42" t="s">
        <v>22</v>
      </c>
      <c r="G235" s="47">
        <f t="shared" si="4"/>
        <v>14039.099999999995</v>
      </c>
      <c r="H235" t="b">
        <f>Table_15[[#This Row],[Temps d''achat]]&gt;9.3</f>
        <v>0</v>
      </c>
      <c r="I235" t="b">
        <f>Table_15[[#This Row],[Temps d''achat]]&lt;4</f>
        <v>0</v>
      </c>
    </row>
    <row r="236" spans="1:9" x14ac:dyDescent="0.35">
      <c r="A236" s="43">
        <v>6</v>
      </c>
      <c r="B236" s="44">
        <v>4.68</v>
      </c>
      <c r="C236" s="45">
        <v>9.23</v>
      </c>
      <c r="D236" s="46" t="s">
        <v>22</v>
      </c>
      <c r="G236" s="47">
        <f t="shared" si="4"/>
        <v>14078.269999999995</v>
      </c>
      <c r="H236" t="b">
        <f>Table_15[[#This Row],[Temps d''achat]]&gt;9.3</f>
        <v>0</v>
      </c>
      <c r="I236" t="b">
        <f>Table_15[[#This Row],[Temps d''achat]]&lt;4</f>
        <v>0</v>
      </c>
    </row>
    <row r="237" spans="1:9" x14ac:dyDescent="0.35">
      <c r="A237" s="39">
        <v>63</v>
      </c>
      <c r="B237" s="40">
        <v>8.5500000000000007</v>
      </c>
      <c r="C237" s="41">
        <v>39.17</v>
      </c>
      <c r="D237" s="42" t="s">
        <v>22</v>
      </c>
      <c r="G237" s="47">
        <f t="shared" si="4"/>
        <v>14129.009999999995</v>
      </c>
      <c r="H237" t="b">
        <f>Table_15[[#This Row],[Temps d''achat]]&gt;9.3</f>
        <v>0</v>
      </c>
      <c r="I237" t="b">
        <f>Table_15[[#This Row],[Temps d''achat]]&lt;4</f>
        <v>0</v>
      </c>
    </row>
    <row r="238" spans="1:9" x14ac:dyDescent="0.35">
      <c r="A238" s="43">
        <v>9</v>
      </c>
      <c r="B238" s="44">
        <v>4.3</v>
      </c>
      <c r="C238" s="45">
        <v>50.74</v>
      </c>
      <c r="D238" s="46" t="s">
        <v>22</v>
      </c>
      <c r="G238" s="47">
        <f t="shared" si="4"/>
        <v>14215.689999999995</v>
      </c>
      <c r="H238" t="b">
        <f>Table_15[[#This Row],[Temps d''achat]]&gt;9.3</f>
        <v>0</v>
      </c>
      <c r="I238" t="b">
        <f>Table_15[[#This Row],[Temps d''achat]]&lt;4</f>
        <v>0</v>
      </c>
    </row>
    <row r="239" spans="1:9" x14ac:dyDescent="0.35">
      <c r="A239" s="39">
        <v>42</v>
      </c>
      <c r="B239" s="40">
        <v>7.06</v>
      </c>
      <c r="C239" s="41">
        <v>86.68</v>
      </c>
      <c r="D239" s="42" t="s">
        <v>22</v>
      </c>
      <c r="G239" s="47">
        <f t="shared" si="4"/>
        <v>14295.479999999996</v>
      </c>
      <c r="H239" t="b">
        <f>Table_15[[#This Row],[Temps d''achat]]&gt;9.3</f>
        <v>0</v>
      </c>
      <c r="I239" t="b">
        <f>Table_15[[#This Row],[Temps d''achat]]&lt;4</f>
        <v>0</v>
      </c>
    </row>
    <row r="240" spans="1:9" x14ac:dyDescent="0.35">
      <c r="A240" s="43">
        <v>24</v>
      </c>
      <c r="B240" s="44">
        <v>8.65</v>
      </c>
      <c r="C240" s="45">
        <v>79.790000000000006</v>
      </c>
      <c r="D240" s="46" t="s">
        <v>22</v>
      </c>
      <c r="G240" s="47">
        <f t="shared" si="4"/>
        <v>14321.559999999996</v>
      </c>
      <c r="H240" t="b">
        <f>Table_15[[#This Row],[Temps d''achat]]&gt;9.3</f>
        <v>0</v>
      </c>
      <c r="I240" t="b">
        <f>Table_15[[#This Row],[Temps d''achat]]&lt;4</f>
        <v>0</v>
      </c>
    </row>
    <row r="241" spans="1:9" x14ac:dyDescent="0.35">
      <c r="A241" s="39">
        <v>29</v>
      </c>
      <c r="B241" s="40">
        <v>7.38</v>
      </c>
      <c r="C241" s="41">
        <v>26.08</v>
      </c>
      <c r="D241" s="42" t="s">
        <v>22</v>
      </c>
      <c r="G241" s="47">
        <f t="shared" si="4"/>
        <v>14393.809999999996</v>
      </c>
      <c r="H241" t="b">
        <f>Table_15[[#This Row],[Temps d''achat]]&gt;9.3</f>
        <v>0</v>
      </c>
      <c r="I241" t="b">
        <f>Table_15[[#This Row],[Temps d''achat]]&lt;4</f>
        <v>0</v>
      </c>
    </row>
    <row r="242" spans="1:9" x14ac:dyDescent="0.35">
      <c r="A242" s="43">
        <v>3</v>
      </c>
      <c r="B242" s="44">
        <v>8.1199999999999992</v>
      </c>
      <c r="C242" s="45">
        <v>72.25</v>
      </c>
      <c r="D242" s="46" t="s">
        <v>22</v>
      </c>
      <c r="G242" s="47">
        <f t="shared" si="4"/>
        <v>14443.049999999996</v>
      </c>
      <c r="H242" t="b">
        <f>Table_15[[#This Row],[Temps d''achat]]&gt;9.3</f>
        <v>0</v>
      </c>
      <c r="I242" t="b">
        <f>Table_15[[#This Row],[Temps d''achat]]&lt;4</f>
        <v>0</v>
      </c>
    </row>
    <row r="243" spans="1:9" x14ac:dyDescent="0.35">
      <c r="A243" s="39">
        <v>22</v>
      </c>
      <c r="B243" s="40">
        <v>5.7</v>
      </c>
      <c r="C243" s="41">
        <v>49.24</v>
      </c>
      <c r="D243" s="42" t="s">
        <v>22</v>
      </c>
      <c r="G243" s="47">
        <f t="shared" si="4"/>
        <v>14521.439999999995</v>
      </c>
      <c r="H243" t="b">
        <f>Table_15[[#This Row],[Temps d''achat]]&gt;9.3</f>
        <v>0</v>
      </c>
      <c r="I243" t="b">
        <f>Table_15[[#This Row],[Temps d''achat]]&lt;4</f>
        <v>0</v>
      </c>
    </row>
    <row r="244" spans="1:9" x14ac:dyDescent="0.35">
      <c r="A244" s="43">
        <v>36</v>
      </c>
      <c r="B244" s="44">
        <v>9.99</v>
      </c>
      <c r="C244" s="53">
        <v>78.39</v>
      </c>
      <c r="D244" s="46" t="s">
        <v>22</v>
      </c>
      <c r="G244" s="47">
        <f t="shared" si="4"/>
        <v>14591.659999999994</v>
      </c>
      <c r="H244" t="b">
        <f>Table_15[[#This Row],[Temps d''achat]]&gt;9.3</f>
        <v>1</v>
      </c>
      <c r="I244" t="b">
        <f>Table_15[[#This Row],[Temps d''achat]]&lt;4</f>
        <v>0</v>
      </c>
    </row>
    <row r="245" spans="1:9" x14ac:dyDescent="0.35">
      <c r="A245" s="39">
        <v>67</v>
      </c>
      <c r="B245" s="40">
        <v>5.34</v>
      </c>
      <c r="C245" s="41">
        <v>70.22</v>
      </c>
      <c r="D245" s="42" t="s">
        <v>22</v>
      </c>
      <c r="G245" s="47">
        <f t="shared" si="4"/>
        <v>14652.149999999994</v>
      </c>
      <c r="H245" t="b">
        <f>Table_15[[#This Row],[Temps d''achat]]&gt;9.3</f>
        <v>0</v>
      </c>
      <c r="I245" t="b">
        <f>Table_15[[#This Row],[Temps d''achat]]&lt;4</f>
        <v>0</v>
      </c>
    </row>
    <row r="246" spans="1:9" x14ac:dyDescent="0.35">
      <c r="A246" s="43">
        <v>5</v>
      </c>
      <c r="B246" s="44">
        <v>8.2200000000000006</v>
      </c>
      <c r="C246" s="45">
        <v>60.49</v>
      </c>
      <c r="D246" s="46" t="s">
        <v>22</v>
      </c>
      <c r="G246" s="47">
        <f t="shared" si="4"/>
        <v>14715.069999999994</v>
      </c>
      <c r="H246" t="b">
        <f>Table_15[[#This Row],[Temps d''achat]]&gt;9.3</f>
        <v>0</v>
      </c>
      <c r="I246" t="b">
        <f>Table_15[[#This Row],[Temps d''achat]]&lt;4</f>
        <v>0</v>
      </c>
    </row>
    <row r="247" spans="1:9" x14ac:dyDescent="0.35">
      <c r="A247" s="39">
        <v>6</v>
      </c>
      <c r="B247" s="40">
        <v>4.78</v>
      </c>
      <c r="C247" s="41">
        <v>62.92</v>
      </c>
      <c r="D247" s="42" t="s">
        <v>22</v>
      </c>
      <c r="G247" s="47">
        <f>G246+C248</f>
        <v>14763.899999999994</v>
      </c>
      <c r="H247" t="b">
        <f>Table_15[[#This Row],[Temps d''achat]]&gt;9.3</f>
        <v>0</v>
      </c>
      <c r="I247" t="b">
        <f>Table_15[[#This Row],[Temps d''achat]]&lt;4</f>
        <v>0</v>
      </c>
    </row>
    <row r="248" spans="1:9" x14ac:dyDescent="0.35">
      <c r="A248" s="43">
        <v>41</v>
      </c>
      <c r="B248" s="44">
        <v>7.05</v>
      </c>
      <c r="C248" s="45">
        <v>48.83</v>
      </c>
      <c r="D248" s="46" t="s">
        <v>22</v>
      </c>
      <c r="G248" t="s">
        <v>31</v>
      </c>
      <c r="H248" t="b">
        <f>Table_15[[#This Row],[Temps d''achat]]&gt;9.3</f>
        <v>0</v>
      </c>
      <c r="I248" t="b">
        <f>Table_15[[#This Row],[Temps d''achat]]&lt;4</f>
        <v>0</v>
      </c>
    </row>
    <row r="249" spans="1:9" x14ac:dyDescent="0.35">
      <c r="A249" s="39">
        <v>31</v>
      </c>
      <c r="B249" s="40">
        <v>4.83</v>
      </c>
      <c r="C249" s="41">
        <v>39.82</v>
      </c>
      <c r="D249" s="42" t="s">
        <v>10</v>
      </c>
      <c r="G249" s="47">
        <f>Table_15[[#This Row],[Montant]]+C250</f>
        <v>109.68</v>
      </c>
      <c r="H249" t="b">
        <f>Table_15[[#This Row],[Temps d''achat]]&gt;9.3</f>
        <v>0</v>
      </c>
      <c r="I249" t="b">
        <f>Table_15[[#This Row],[Temps d''achat]]&lt;4</f>
        <v>0</v>
      </c>
    </row>
    <row r="250" spans="1:9" x14ac:dyDescent="0.35">
      <c r="A250" s="43">
        <v>22</v>
      </c>
      <c r="B250" s="44">
        <v>7.66</v>
      </c>
      <c r="C250" s="45">
        <v>69.86</v>
      </c>
      <c r="D250" s="46" t="s">
        <v>10</v>
      </c>
      <c r="G250" s="47">
        <f>C251+G249</f>
        <v>177.63</v>
      </c>
      <c r="H250" t="b">
        <f>Table_15[[#This Row],[Temps d''achat]]&gt;9.3</f>
        <v>0</v>
      </c>
      <c r="I250" t="b">
        <f>Table_15[[#This Row],[Temps d''achat]]&lt;4</f>
        <v>0</v>
      </c>
    </row>
    <row r="251" spans="1:9" x14ac:dyDescent="0.35">
      <c r="A251" s="39">
        <v>13</v>
      </c>
      <c r="B251" s="40">
        <v>7.88</v>
      </c>
      <c r="C251" s="41">
        <v>67.95</v>
      </c>
      <c r="D251" s="42" t="s">
        <v>10</v>
      </c>
      <c r="G251" s="47">
        <f>G250+C252</f>
        <v>228.29</v>
      </c>
      <c r="H251" t="b">
        <f>Table_15[[#This Row],[Temps d''achat]]&gt;9.3</f>
        <v>0</v>
      </c>
      <c r="I251" t="b">
        <f>Table_15[[#This Row],[Temps d''achat]]&lt;4</f>
        <v>0</v>
      </c>
    </row>
    <row r="252" spans="1:9" x14ac:dyDescent="0.35">
      <c r="A252" s="43">
        <v>52</v>
      </c>
      <c r="B252" s="44">
        <v>5.58</v>
      </c>
      <c r="C252" s="45">
        <v>50.66</v>
      </c>
      <c r="D252" s="46" t="s">
        <v>10</v>
      </c>
      <c r="G252" s="47">
        <f t="shared" ref="G252" si="5">C253+G251</f>
        <v>259.77</v>
      </c>
      <c r="H252" t="b">
        <f>Table_15[[#This Row],[Temps d''achat]]&gt;9.3</f>
        <v>0</v>
      </c>
      <c r="I252" t="b">
        <f>Table_15[[#This Row],[Temps d''achat]]&lt;4</f>
        <v>0</v>
      </c>
    </row>
    <row r="253" spans="1:9" x14ac:dyDescent="0.35">
      <c r="A253" s="39">
        <v>25</v>
      </c>
      <c r="B253" s="40">
        <v>4.32</v>
      </c>
      <c r="C253" s="41">
        <v>31.48</v>
      </c>
      <c r="D253" s="42" t="s">
        <v>10</v>
      </c>
      <c r="G253" s="47">
        <f t="shared" ref="G253:G315" si="6">G252+C254</f>
        <v>297.15999999999997</v>
      </c>
      <c r="H253" t="b">
        <f>Table_15[[#This Row],[Temps d''achat]]&gt;9.3</f>
        <v>0</v>
      </c>
      <c r="I253" t="b">
        <f>Table_15[[#This Row],[Temps d''achat]]&lt;4</f>
        <v>0</v>
      </c>
    </row>
    <row r="254" spans="1:9" x14ac:dyDescent="0.35">
      <c r="A254" s="43">
        <v>13</v>
      </c>
      <c r="B254" s="44">
        <v>5.2</v>
      </c>
      <c r="C254" s="45">
        <v>37.39</v>
      </c>
      <c r="D254" s="46" t="s">
        <v>10</v>
      </c>
      <c r="G254" s="47">
        <f t="shared" ref="G254:G316" si="7">C255+G253</f>
        <v>348.83</v>
      </c>
      <c r="H254" t="b">
        <f>Table_15[[#This Row],[Temps d''achat]]&gt;9.3</f>
        <v>0</v>
      </c>
      <c r="I254" t="b">
        <f>Table_15[[#This Row],[Temps d''achat]]&lt;4</f>
        <v>0</v>
      </c>
    </row>
    <row r="255" spans="1:9" x14ac:dyDescent="0.35">
      <c r="A255" s="39">
        <v>5</v>
      </c>
      <c r="B255" s="40">
        <v>4.04</v>
      </c>
      <c r="C255" s="41">
        <v>51.67</v>
      </c>
      <c r="D255" s="42" t="s">
        <v>10</v>
      </c>
      <c r="G255" s="47">
        <f t="shared" si="6"/>
        <v>392.64</v>
      </c>
      <c r="H255" t="b">
        <f>Table_15[[#This Row],[Temps d''achat]]&gt;9.3</f>
        <v>0</v>
      </c>
      <c r="I255" t="b">
        <f>Table_15[[#This Row],[Temps d''achat]]&lt;4</f>
        <v>0</v>
      </c>
    </row>
    <row r="256" spans="1:9" x14ac:dyDescent="0.35">
      <c r="A256" s="43">
        <v>13</v>
      </c>
      <c r="B256" s="44">
        <v>4.7699999999999996</v>
      </c>
      <c r="C256" s="45">
        <v>43.81</v>
      </c>
      <c r="D256" s="46" t="s">
        <v>10</v>
      </c>
      <c r="G256" s="47">
        <f t="shared" si="7"/>
        <v>463.07</v>
      </c>
      <c r="H256" t="b">
        <f>Table_15[[#This Row],[Temps d''achat]]&gt;9.3</f>
        <v>0</v>
      </c>
      <c r="I256" t="b">
        <f>Table_15[[#This Row],[Temps d''achat]]&lt;4</f>
        <v>0</v>
      </c>
    </row>
    <row r="257" spans="1:9" x14ac:dyDescent="0.35">
      <c r="A257" s="39">
        <v>51</v>
      </c>
      <c r="B257" s="40">
        <v>8.34</v>
      </c>
      <c r="C257" s="41">
        <v>70.430000000000007</v>
      </c>
      <c r="D257" s="42" t="s">
        <v>10</v>
      </c>
      <c r="G257" s="47">
        <f t="shared" si="6"/>
        <v>542.97</v>
      </c>
      <c r="H257" t="b">
        <f>Table_15[[#This Row],[Temps d''achat]]&gt;9.3</f>
        <v>0</v>
      </c>
      <c r="I257" t="b">
        <f>Table_15[[#This Row],[Temps d''achat]]&lt;4</f>
        <v>0</v>
      </c>
    </row>
    <row r="258" spans="1:9" x14ac:dyDescent="0.35">
      <c r="A258" s="43">
        <v>14</v>
      </c>
      <c r="B258" s="44">
        <v>9.3800000000000008</v>
      </c>
      <c r="C258" s="53">
        <v>79.900000000000006</v>
      </c>
      <c r="D258" s="46" t="s">
        <v>10</v>
      </c>
      <c r="G258" s="47">
        <f t="shared" si="7"/>
        <v>606.31000000000006</v>
      </c>
      <c r="H258" t="b">
        <f>Table_15[[#This Row],[Temps d''achat]]&gt;9.3</f>
        <v>1</v>
      </c>
      <c r="I258" t="b">
        <f>Table_15[[#This Row],[Temps d''achat]]&lt;4</f>
        <v>0</v>
      </c>
    </row>
    <row r="259" spans="1:9" x14ac:dyDescent="0.35">
      <c r="A259" s="39">
        <v>8</v>
      </c>
      <c r="B259" s="40">
        <v>9.66</v>
      </c>
      <c r="C259" s="52">
        <v>63.34</v>
      </c>
      <c r="D259" s="42" t="s">
        <v>10</v>
      </c>
      <c r="G259" s="47">
        <f t="shared" si="6"/>
        <v>636.93000000000006</v>
      </c>
      <c r="H259" t="b">
        <f>Table_15[[#This Row],[Temps d''achat]]&gt;9.3</f>
        <v>1</v>
      </c>
      <c r="I259" t="b">
        <f>Table_15[[#This Row],[Temps d''achat]]&lt;4</f>
        <v>0</v>
      </c>
    </row>
    <row r="260" spans="1:9" x14ac:dyDescent="0.35">
      <c r="A260" s="43">
        <v>48</v>
      </c>
      <c r="B260" s="44">
        <v>4</v>
      </c>
      <c r="C260" s="45">
        <v>30.62</v>
      </c>
      <c r="D260" s="46" t="s">
        <v>10</v>
      </c>
      <c r="G260" s="47">
        <f t="shared" si="7"/>
        <v>688.29000000000008</v>
      </c>
      <c r="H260" t="b">
        <f>Table_15[[#This Row],[Temps d''achat]]&gt;9.3</f>
        <v>0</v>
      </c>
      <c r="I260" t="b">
        <f>Table_15[[#This Row],[Temps d''achat]]&lt;4</f>
        <v>0</v>
      </c>
    </row>
    <row r="261" spans="1:9" x14ac:dyDescent="0.35">
      <c r="A261" s="39">
        <v>38</v>
      </c>
      <c r="B261" s="40">
        <v>7.31</v>
      </c>
      <c r="C261" s="41">
        <v>51.36</v>
      </c>
      <c r="D261" s="42" t="s">
        <v>10</v>
      </c>
      <c r="G261" s="47">
        <f t="shared" si="6"/>
        <v>751.1400000000001</v>
      </c>
      <c r="H261" t="b">
        <f>Table_15[[#This Row],[Temps d''achat]]&gt;9.3</f>
        <v>0</v>
      </c>
      <c r="I261" t="b">
        <f>Table_15[[#This Row],[Temps d''achat]]&lt;4</f>
        <v>0</v>
      </c>
    </row>
    <row r="262" spans="1:9" x14ac:dyDescent="0.35">
      <c r="A262" s="43">
        <v>51</v>
      </c>
      <c r="B262" s="44">
        <v>7.45</v>
      </c>
      <c r="C262" s="45">
        <v>62.85</v>
      </c>
      <c r="D262" s="46" t="s">
        <v>10</v>
      </c>
      <c r="G262" s="47">
        <f t="shared" si="7"/>
        <v>806.53000000000009</v>
      </c>
      <c r="H262" t="b">
        <f>Table_15[[#This Row],[Temps d''achat]]&gt;9.3</f>
        <v>0</v>
      </c>
      <c r="I262" t="b">
        <f>Table_15[[#This Row],[Temps d''achat]]&lt;4</f>
        <v>0</v>
      </c>
    </row>
    <row r="263" spans="1:9" x14ac:dyDescent="0.35">
      <c r="A263" s="39">
        <v>17</v>
      </c>
      <c r="B263" s="40">
        <v>9.66</v>
      </c>
      <c r="C263" s="52">
        <v>55.39</v>
      </c>
      <c r="D263" s="42" t="s">
        <v>10</v>
      </c>
      <c r="G263" s="47">
        <f t="shared" si="6"/>
        <v>898.23000000000013</v>
      </c>
      <c r="H263" t="b">
        <f>Table_15[[#This Row],[Temps d''achat]]&gt;9.3</f>
        <v>1</v>
      </c>
      <c r="I263" t="b">
        <f>Table_15[[#This Row],[Temps d''achat]]&lt;4</f>
        <v>0</v>
      </c>
    </row>
    <row r="264" spans="1:9" x14ac:dyDescent="0.35">
      <c r="A264" s="43">
        <v>38</v>
      </c>
      <c r="B264" s="44">
        <v>9.24</v>
      </c>
      <c r="C264" s="45">
        <v>91.7</v>
      </c>
      <c r="D264" s="46" t="s">
        <v>10</v>
      </c>
      <c r="G264" s="47">
        <f t="shared" si="7"/>
        <v>962.90000000000009</v>
      </c>
      <c r="H264" t="b">
        <f>Table_15[[#This Row],[Temps d''achat]]&gt;9.3</f>
        <v>0</v>
      </c>
      <c r="I264" t="b">
        <f>Table_15[[#This Row],[Temps d''achat]]&lt;4</f>
        <v>0</v>
      </c>
    </row>
    <row r="265" spans="1:9" x14ac:dyDescent="0.35">
      <c r="A265" s="39">
        <v>47</v>
      </c>
      <c r="B265" s="40">
        <v>4.5</v>
      </c>
      <c r="C265" s="41">
        <v>64.67</v>
      </c>
      <c r="D265" s="42" t="s">
        <v>10</v>
      </c>
      <c r="G265" s="47">
        <f t="shared" si="6"/>
        <v>1029.0300000000002</v>
      </c>
      <c r="H265" t="b">
        <f>Table_15[[#This Row],[Temps d''achat]]&gt;9.3</f>
        <v>0</v>
      </c>
      <c r="I265" t="b">
        <f>Table_15[[#This Row],[Temps d''achat]]&lt;4</f>
        <v>0</v>
      </c>
    </row>
    <row r="266" spans="1:9" x14ac:dyDescent="0.35">
      <c r="A266" s="43">
        <v>19</v>
      </c>
      <c r="B266" s="44">
        <v>7.3</v>
      </c>
      <c r="C266" s="45">
        <v>66.13</v>
      </c>
      <c r="D266" s="46" t="s">
        <v>10</v>
      </c>
      <c r="G266" s="47">
        <f t="shared" si="7"/>
        <v>1076.0700000000002</v>
      </c>
      <c r="H266" t="b">
        <f>Table_15[[#This Row],[Temps d''achat]]&gt;9.3</f>
        <v>0</v>
      </c>
      <c r="I266" t="b">
        <f>Table_15[[#This Row],[Temps d''achat]]&lt;4</f>
        <v>0</v>
      </c>
    </row>
    <row r="267" spans="1:9" x14ac:dyDescent="0.35">
      <c r="A267" s="39">
        <v>3</v>
      </c>
      <c r="B267" s="40">
        <v>5.44</v>
      </c>
      <c r="C267" s="41">
        <v>47.04</v>
      </c>
      <c r="D267" s="42" t="s">
        <v>10</v>
      </c>
      <c r="G267" s="47">
        <f t="shared" si="6"/>
        <v>1111.4500000000003</v>
      </c>
      <c r="H267" t="b">
        <f>Table_15[[#This Row],[Temps d''achat]]&gt;9.3</f>
        <v>0</v>
      </c>
      <c r="I267" t="b">
        <f>Table_15[[#This Row],[Temps d''achat]]&lt;4</f>
        <v>0</v>
      </c>
    </row>
    <row r="268" spans="1:9" x14ac:dyDescent="0.35">
      <c r="A268" s="43">
        <v>14</v>
      </c>
      <c r="B268" s="44">
        <v>8.1199999999999992</v>
      </c>
      <c r="C268" s="45">
        <v>35.380000000000003</v>
      </c>
      <c r="D268" s="46" t="s">
        <v>10</v>
      </c>
      <c r="G268" s="47">
        <f t="shared" si="7"/>
        <v>1221.2400000000002</v>
      </c>
      <c r="H268" t="b">
        <f>Table_15[[#This Row],[Temps d''achat]]&gt;9.3</f>
        <v>0</v>
      </c>
      <c r="I268" t="b">
        <f>Table_15[[#This Row],[Temps d''achat]]&lt;4</f>
        <v>0</v>
      </c>
    </row>
    <row r="269" spans="1:9" x14ac:dyDescent="0.35">
      <c r="A269" s="39">
        <v>27</v>
      </c>
      <c r="B269" s="40">
        <v>9.7799999999999994</v>
      </c>
      <c r="C269" s="52">
        <v>109.79</v>
      </c>
      <c r="D269" s="42" t="s">
        <v>10</v>
      </c>
      <c r="G269" s="47">
        <f t="shared" si="6"/>
        <v>1270.2300000000002</v>
      </c>
      <c r="H269" t="b">
        <f>Table_15[[#This Row],[Temps d''achat]]&gt;9.3</f>
        <v>1</v>
      </c>
      <c r="I269" t="b">
        <f>Table_15[[#This Row],[Temps d''achat]]&lt;4</f>
        <v>0</v>
      </c>
    </row>
    <row r="270" spans="1:9" x14ac:dyDescent="0.35">
      <c r="A270" s="43">
        <v>30</v>
      </c>
      <c r="B270" s="44">
        <v>6.15</v>
      </c>
      <c r="C270" s="45">
        <v>48.99</v>
      </c>
      <c r="D270" s="46" t="s">
        <v>10</v>
      </c>
      <c r="G270" s="47">
        <f t="shared" si="7"/>
        <v>1354.3600000000001</v>
      </c>
      <c r="H270" t="b">
        <f>Table_15[[#This Row],[Temps d''achat]]&gt;9.3</f>
        <v>0</v>
      </c>
      <c r="I270" t="b">
        <f>Table_15[[#This Row],[Temps d''achat]]&lt;4</f>
        <v>0</v>
      </c>
    </row>
    <row r="271" spans="1:9" x14ac:dyDescent="0.35">
      <c r="A271" s="39">
        <v>42</v>
      </c>
      <c r="B271" s="40">
        <v>7.33</v>
      </c>
      <c r="C271" s="41">
        <v>84.13</v>
      </c>
      <c r="D271" s="42" t="s">
        <v>10</v>
      </c>
      <c r="G271" s="47">
        <f t="shared" si="6"/>
        <v>1412.7700000000002</v>
      </c>
      <c r="H271" t="b">
        <f>Table_15[[#This Row],[Temps d''achat]]&gt;9.3</f>
        <v>0</v>
      </c>
      <c r="I271" t="b">
        <f>Table_15[[#This Row],[Temps d''achat]]&lt;4</f>
        <v>0</v>
      </c>
    </row>
    <row r="272" spans="1:9" x14ac:dyDescent="0.35">
      <c r="A272" s="43">
        <v>34</v>
      </c>
      <c r="B272" s="44">
        <v>5.59</v>
      </c>
      <c r="C272" s="45">
        <v>58.41</v>
      </c>
      <c r="D272" s="46" t="s">
        <v>10</v>
      </c>
      <c r="G272" s="47">
        <f t="shared" si="7"/>
        <v>1450.8700000000001</v>
      </c>
      <c r="H272" t="b">
        <f>Table_15[[#This Row],[Temps d''achat]]&gt;9.3</f>
        <v>0</v>
      </c>
      <c r="I272" t="b">
        <f>Table_15[[#This Row],[Temps d''achat]]&lt;4</f>
        <v>0</v>
      </c>
    </row>
    <row r="273" spans="1:9" x14ac:dyDescent="0.35">
      <c r="A273" s="39">
        <v>3</v>
      </c>
      <c r="B273" s="40">
        <v>5.0999999999999996</v>
      </c>
      <c r="C273" s="41">
        <v>38.1</v>
      </c>
      <c r="D273" s="42" t="s">
        <v>10</v>
      </c>
      <c r="G273" s="47">
        <f t="shared" si="6"/>
        <v>1517.0900000000001</v>
      </c>
      <c r="H273" t="b">
        <f>Table_15[[#This Row],[Temps d''achat]]&gt;9.3</f>
        <v>0</v>
      </c>
      <c r="I273" t="b">
        <f>Table_15[[#This Row],[Temps d''achat]]&lt;4</f>
        <v>0</v>
      </c>
    </row>
    <row r="274" spans="1:9" x14ac:dyDescent="0.35">
      <c r="A274" s="43">
        <v>14</v>
      </c>
      <c r="B274" s="44">
        <v>7.73</v>
      </c>
      <c r="C274" s="45">
        <v>66.22</v>
      </c>
      <c r="D274" s="46" t="s">
        <v>10</v>
      </c>
      <c r="G274" s="47">
        <f t="shared" si="7"/>
        <v>1606.41</v>
      </c>
      <c r="H274" t="b">
        <f>Table_15[[#This Row],[Temps d''achat]]&gt;9.3</f>
        <v>0</v>
      </c>
      <c r="I274" t="b">
        <f>Table_15[[#This Row],[Temps d''achat]]&lt;4</f>
        <v>0</v>
      </c>
    </row>
    <row r="275" spans="1:9" x14ac:dyDescent="0.35">
      <c r="A275" s="39">
        <v>32</v>
      </c>
      <c r="B275" s="40">
        <v>9.74</v>
      </c>
      <c r="C275" s="52">
        <v>89.32</v>
      </c>
      <c r="D275" s="42" t="s">
        <v>10</v>
      </c>
      <c r="G275" s="47">
        <f t="shared" si="6"/>
        <v>1678.01</v>
      </c>
      <c r="H275" t="b">
        <f>Table_15[[#This Row],[Temps d''achat]]&gt;9.3</f>
        <v>1</v>
      </c>
      <c r="I275" t="b">
        <f>Table_15[[#This Row],[Temps d''achat]]&lt;4</f>
        <v>0</v>
      </c>
    </row>
    <row r="276" spans="1:9" x14ac:dyDescent="0.35">
      <c r="A276" s="43">
        <v>6</v>
      </c>
      <c r="B276" s="44">
        <v>7.33</v>
      </c>
      <c r="C276" s="45">
        <v>71.599999999999994</v>
      </c>
      <c r="D276" s="46" t="s">
        <v>10</v>
      </c>
      <c r="G276" s="47">
        <f t="shared" si="7"/>
        <v>1729.9</v>
      </c>
      <c r="H276" t="b">
        <f>Table_15[[#This Row],[Temps d''achat]]&gt;9.3</f>
        <v>0</v>
      </c>
      <c r="I276" t="b">
        <f>Table_15[[#This Row],[Temps d''achat]]&lt;4</f>
        <v>0</v>
      </c>
    </row>
    <row r="277" spans="1:9" x14ac:dyDescent="0.35">
      <c r="A277" s="39">
        <v>38</v>
      </c>
      <c r="B277" s="40">
        <v>9.8800000000000008</v>
      </c>
      <c r="C277" s="52">
        <v>51.89</v>
      </c>
      <c r="D277" s="42" t="s">
        <v>10</v>
      </c>
      <c r="G277" s="47">
        <f t="shared" si="6"/>
        <v>1795.16</v>
      </c>
      <c r="H277" t="b">
        <f>Table_15[[#This Row],[Temps d''achat]]&gt;9.3</f>
        <v>1</v>
      </c>
      <c r="I277" t="b">
        <f>Table_15[[#This Row],[Temps d''achat]]&lt;4</f>
        <v>0</v>
      </c>
    </row>
    <row r="278" spans="1:9" x14ac:dyDescent="0.35">
      <c r="A278" s="43">
        <v>7</v>
      </c>
      <c r="B278" s="44">
        <v>8.17</v>
      </c>
      <c r="C278" s="45">
        <v>65.260000000000005</v>
      </c>
      <c r="D278" s="46" t="s">
        <v>10</v>
      </c>
      <c r="G278" s="47">
        <f t="shared" si="7"/>
        <v>1865.9</v>
      </c>
      <c r="H278" t="b">
        <f>Table_15[[#This Row],[Temps d''achat]]&gt;9.3</f>
        <v>0</v>
      </c>
      <c r="I278" t="b">
        <f>Table_15[[#This Row],[Temps d''achat]]&lt;4</f>
        <v>0</v>
      </c>
    </row>
    <row r="279" spans="1:9" x14ac:dyDescent="0.35">
      <c r="A279" s="39">
        <v>42</v>
      </c>
      <c r="B279" s="40">
        <v>6.71</v>
      </c>
      <c r="C279" s="41">
        <v>70.739999999999995</v>
      </c>
      <c r="D279" s="42" t="s">
        <v>10</v>
      </c>
      <c r="G279" s="47">
        <f t="shared" si="6"/>
        <v>1928.46</v>
      </c>
      <c r="H279" t="b">
        <f>Table_15[[#This Row],[Temps d''achat]]&gt;9.3</f>
        <v>0</v>
      </c>
      <c r="I279" t="b">
        <f>Table_15[[#This Row],[Temps d''achat]]&lt;4</f>
        <v>0</v>
      </c>
    </row>
    <row r="280" spans="1:9" x14ac:dyDescent="0.35">
      <c r="A280" s="43">
        <v>24</v>
      </c>
      <c r="B280" s="44">
        <v>6.85</v>
      </c>
      <c r="C280" s="45">
        <v>62.56</v>
      </c>
      <c r="D280" s="46" t="s">
        <v>10</v>
      </c>
      <c r="G280" s="47">
        <f t="shared" si="7"/>
        <v>2011.54</v>
      </c>
      <c r="H280" t="b">
        <f>Table_15[[#This Row],[Temps d''achat]]&gt;9.3</f>
        <v>0</v>
      </c>
      <c r="I280" t="b">
        <f>Table_15[[#This Row],[Temps d''achat]]&lt;4</f>
        <v>0</v>
      </c>
    </row>
    <row r="281" spans="1:9" x14ac:dyDescent="0.35">
      <c r="A281" s="39">
        <v>12</v>
      </c>
      <c r="B281" s="40">
        <v>5.61</v>
      </c>
      <c r="C281" s="41">
        <v>83.08</v>
      </c>
      <c r="D281" s="42" t="s">
        <v>10</v>
      </c>
      <c r="G281" s="47">
        <f t="shared" si="6"/>
        <v>2082.58</v>
      </c>
      <c r="H281" t="b">
        <f>Table_15[[#This Row],[Temps d''achat]]&gt;9.3</f>
        <v>0</v>
      </c>
      <c r="I281" t="b">
        <f>Table_15[[#This Row],[Temps d''achat]]&lt;4</f>
        <v>0</v>
      </c>
    </row>
    <row r="282" spans="1:9" x14ac:dyDescent="0.35">
      <c r="A282" s="43">
        <v>33</v>
      </c>
      <c r="B282" s="44">
        <v>8.6199999999999992</v>
      </c>
      <c r="C282" s="45">
        <v>71.040000000000006</v>
      </c>
      <c r="D282" s="46" t="s">
        <v>10</v>
      </c>
      <c r="G282" s="47">
        <f t="shared" si="7"/>
        <v>2127.2199999999998</v>
      </c>
      <c r="H282" t="b">
        <f>Table_15[[#This Row],[Temps d''achat]]&gt;9.3</f>
        <v>0</v>
      </c>
      <c r="I282" t="b">
        <f>Table_15[[#This Row],[Temps d''achat]]&lt;4</f>
        <v>0</v>
      </c>
    </row>
    <row r="283" spans="1:9" x14ac:dyDescent="0.35">
      <c r="A283" s="39">
        <v>1</v>
      </c>
      <c r="B283" s="40">
        <v>6.73</v>
      </c>
      <c r="C283" s="41">
        <v>44.64</v>
      </c>
      <c r="D283" s="42" t="s">
        <v>10</v>
      </c>
      <c r="G283" s="47">
        <f t="shared" si="6"/>
        <v>2173.7799999999997</v>
      </c>
      <c r="H283" t="b">
        <f>Table_15[[#This Row],[Temps d''achat]]&gt;9.3</f>
        <v>0</v>
      </c>
      <c r="I283" t="b">
        <f>Table_15[[#This Row],[Temps d''achat]]&lt;4</f>
        <v>0</v>
      </c>
    </row>
    <row r="284" spans="1:9" x14ac:dyDescent="0.35">
      <c r="A284" s="43">
        <v>30</v>
      </c>
      <c r="B284" s="44">
        <v>8.27</v>
      </c>
      <c r="C284" s="45">
        <v>46.56</v>
      </c>
      <c r="D284" s="46" t="s">
        <v>10</v>
      </c>
      <c r="G284" s="47">
        <f t="shared" si="7"/>
        <v>2211.87</v>
      </c>
      <c r="H284" t="b">
        <f>Table_15[[#This Row],[Temps d''achat]]&gt;9.3</f>
        <v>0</v>
      </c>
      <c r="I284" t="b">
        <f>Table_15[[#This Row],[Temps d''achat]]&lt;4</f>
        <v>0</v>
      </c>
    </row>
    <row r="285" spans="1:9" x14ac:dyDescent="0.35">
      <c r="A285" s="39">
        <v>43</v>
      </c>
      <c r="B285" s="40">
        <v>7</v>
      </c>
      <c r="C285" s="41">
        <v>38.090000000000003</v>
      </c>
      <c r="D285" s="42" t="s">
        <v>10</v>
      </c>
      <c r="G285" s="47">
        <f t="shared" si="6"/>
        <v>2278.2999999999997</v>
      </c>
      <c r="H285" t="b">
        <f>Table_15[[#This Row],[Temps d''achat]]&gt;9.3</f>
        <v>0</v>
      </c>
      <c r="I285" t="b">
        <f>Table_15[[#This Row],[Temps d''achat]]&lt;4</f>
        <v>0</v>
      </c>
    </row>
    <row r="286" spans="1:9" x14ac:dyDescent="0.35">
      <c r="A286" s="43">
        <v>49</v>
      </c>
      <c r="B286" s="44">
        <v>6.69</v>
      </c>
      <c r="C286" s="45">
        <v>66.430000000000007</v>
      </c>
      <c r="D286" s="46" t="s">
        <v>10</v>
      </c>
      <c r="G286" s="47">
        <f t="shared" si="7"/>
        <v>2315.2899999999995</v>
      </c>
      <c r="H286" t="b">
        <f>Table_15[[#This Row],[Temps d''achat]]&gt;9.3</f>
        <v>0</v>
      </c>
      <c r="I286" t="b">
        <f>Table_15[[#This Row],[Temps d''achat]]&lt;4</f>
        <v>0</v>
      </c>
    </row>
    <row r="287" spans="1:9" x14ac:dyDescent="0.35">
      <c r="A287" s="39">
        <v>2</v>
      </c>
      <c r="B287" s="40">
        <v>7.76</v>
      </c>
      <c r="C287" s="41">
        <v>36.99</v>
      </c>
      <c r="D287" s="42" t="s">
        <v>10</v>
      </c>
      <c r="G287" s="47">
        <f t="shared" si="6"/>
        <v>2415.2499999999995</v>
      </c>
      <c r="H287" t="b">
        <f>Table_15[[#This Row],[Temps d''achat]]&gt;9.3</f>
        <v>0</v>
      </c>
      <c r="I287" t="b">
        <f>Table_15[[#This Row],[Temps d''achat]]&lt;4</f>
        <v>0</v>
      </c>
    </row>
    <row r="288" spans="1:9" x14ac:dyDescent="0.35">
      <c r="A288" s="43">
        <v>53</v>
      </c>
      <c r="B288" s="44">
        <v>8.0500000000000007</v>
      </c>
      <c r="C288" s="45">
        <v>99.96</v>
      </c>
      <c r="D288" s="46" t="s">
        <v>10</v>
      </c>
      <c r="G288" s="47">
        <f t="shared" si="7"/>
        <v>2485.2899999999995</v>
      </c>
      <c r="H288" t="b">
        <f>Table_15[[#This Row],[Temps d''achat]]&gt;9.3</f>
        <v>0</v>
      </c>
      <c r="I288" t="b">
        <f>Table_15[[#This Row],[Temps d''achat]]&lt;4</f>
        <v>0</v>
      </c>
    </row>
    <row r="289" spans="1:9" x14ac:dyDescent="0.35">
      <c r="A289" s="39">
        <v>9</v>
      </c>
      <c r="B289" s="40">
        <v>6.81</v>
      </c>
      <c r="C289" s="41">
        <v>70.040000000000006</v>
      </c>
      <c r="D289" s="42" t="s">
        <v>10</v>
      </c>
      <c r="G289" s="47">
        <f t="shared" si="6"/>
        <v>2563.0499999999997</v>
      </c>
      <c r="H289" t="b">
        <f>Table_15[[#This Row],[Temps d''achat]]&gt;9.3</f>
        <v>0</v>
      </c>
      <c r="I289" t="b">
        <f>Table_15[[#This Row],[Temps d''achat]]&lt;4</f>
        <v>0</v>
      </c>
    </row>
    <row r="290" spans="1:9" x14ac:dyDescent="0.35">
      <c r="A290" s="43">
        <v>24</v>
      </c>
      <c r="B290" s="44">
        <v>9.31</v>
      </c>
      <c r="C290" s="53">
        <v>77.760000000000005</v>
      </c>
      <c r="D290" s="46" t="s">
        <v>10</v>
      </c>
      <c r="G290" s="47">
        <f t="shared" si="7"/>
        <v>2599.3599999999997</v>
      </c>
      <c r="H290" t="b">
        <f>Table_15[[#This Row],[Temps d''achat]]&gt;9.3</f>
        <v>1</v>
      </c>
      <c r="I290" t="b">
        <f>Table_15[[#This Row],[Temps d''achat]]&lt;4</f>
        <v>0</v>
      </c>
    </row>
    <row r="291" spans="1:9" x14ac:dyDescent="0.35">
      <c r="A291" s="39">
        <v>27</v>
      </c>
      <c r="B291" s="40">
        <v>4.1100000000000003</v>
      </c>
      <c r="C291" s="41">
        <v>36.31</v>
      </c>
      <c r="D291" s="42" t="s">
        <v>10</v>
      </c>
      <c r="G291" s="47">
        <f t="shared" si="6"/>
        <v>2673.14</v>
      </c>
      <c r="H291" t="b">
        <f>Table_15[[#This Row],[Temps d''achat]]&gt;9.3</f>
        <v>0</v>
      </c>
      <c r="I291" t="b">
        <f>Table_15[[#This Row],[Temps d''achat]]&lt;4</f>
        <v>0</v>
      </c>
    </row>
    <row r="292" spans="1:9" x14ac:dyDescent="0.35">
      <c r="A292" s="43">
        <v>18</v>
      </c>
      <c r="B292" s="44">
        <v>7.57</v>
      </c>
      <c r="C292" s="45">
        <v>73.78</v>
      </c>
      <c r="D292" s="46" t="s">
        <v>10</v>
      </c>
      <c r="G292" s="47">
        <f t="shared" si="7"/>
        <v>2737.5</v>
      </c>
      <c r="H292" t="b">
        <f>Table_15[[#This Row],[Temps d''achat]]&gt;9.3</f>
        <v>0</v>
      </c>
      <c r="I292" t="b">
        <f>Table_15[[#This Row],[Temps d''achat]]&lt;4</f>
        <v>0</v>
      </c>
    </row>
    <row r="293" spans="1:9" x14ac:dyDescent="0.35">
      <c r="A293" s="39">
        <v>30</v>
      </c>
      <c r="B293" s="40">
        <v>8.44</v>
      </c>
      <c r="C293" s="41">
        <v>64.36</v>
      </c>
      <c r="D293" s="42" t="s">
        <v>10</v>
      </c>
      <c r="G293" s="47">
        <f t="shared" si="6"/>
        <v>2794.92</v>
      </c>
      <c r="H293" t="b">
        <f>Table_15[[#This Row],[Temps d''achat]]&gt;9.3</f>
        <v>0</v>
      </c>
      <c r="I293" t="b">
        <f>Table_15[[#This Row],[Temps d''achat]]&lt;4</f>
        <v>0</v>
      </c>
    </row>
    <row r="294" spans="1:9" x14ac:dyDescent="0.35">
      <c r="A294" s="43">
        <v>20</v>
      </c>
      <c r="B294" s="44">
        <v>7.69</v>
      </c>
      <c r="C294" s="45">
        <v>57.42</v>
      </c>
      <c r="D294" s="46" t="s">
        <v>10</v>
      </c>
      <c r="G294" s="47">
        <f t="shared" si="7"/>
        <v>2858.02</v>
      </c>
      <c r="H294" t="b">
        <f>Table_15[[#This Row],[Temps d''achat]]&gt;9.3</f>
        <v>0</v>
      </c>
      <c r="I294" t="b">
        <f>Table_15[[#This Row],[Temps d''achat]]&lt;4</f>
        <v>0</v>
      </c>
    </row>
    <row r="295" spans="1:9" x14ac:dyDescent="0.35">
      <c r="A295" s="39">
        <v>20</v>
      </c>
      <c r="B295" s="40">
        <v>5.88</v>
      </c>
      <c r="C295" s="41">
        <v>63.1</v>
      </c>
      <c r="D295" s="42" t="s">
        <v>10</v>
      </c>
      <c r="G295" s="47">
        <f t="shared" si="6"/>
        <v>2950.24</v>
      </c>
      <c r="H295" t="b">
        <f>Table_15[[#This Row],[Temps d''achat]]&gt;9.3</f>
        <v>0</v>
      </c>
      <c r="I295" t="b">
        <f>Table_15[[#This Row],[Temps d''achat]]&lt;4</f>
        <v>0</v>
      </c>
    </row>
    <row r="296" spans="1:9" x14ac:dyDescent="0.35">
      <c r="A296" s="43">
        <v>23</v>
      </c>
      <c r="B296" s="44">
        <v>7.55</v>
      </c>
      <c r="C296" s="45">
        <v>92.22</v>
      </c>
      <c r="D296" s="46" t="s">
        <v>10</v>
      </c>
      <c r="G296" s="47">
        <f t="shared" si="7"/>
        <v>3013.43</v>
      </c>
      <c r="H296" t="b">
        <f>Table_15[[#This Row],[Temps d''achat]]&gt;9.3</f>
        <v>0</v>
      </c>
      <c r="I296" t="b">
        <f>Table_15[[#This Row],[Temps d''achat]]&lt;4</f>
        <v>0</v>
      </c>
    </row>
    <row r="297" spans="1:9" x14ac:dyDescent="0.35">
      <c r="A297" s="39">
        <v>24</v>
      </c>
      <c r="B297" s="40">
        <v>5.61</v>
      </c>
      <c r="C297" s="41">
        <v>63.19</v>
      </c>
      <c r="D297" s="42" t="s">
        <v>10</v>
      </c>
      <c r="G297" s="47">
        <f t="shared" si="6"/>
        <v>3044.1</v>
      </c>
      <c r="H297" t="b">
        <f>Table_15[[#This Row],[Temps d''achat]]&gt;9.3</f>
        <v>0</v>
      </c>
      <c r="I297" t="b">
        <f>Table_15[[#This Row],[Temps d''achat]]&lt;4</f>
        <v>0</v>
      </c>
    </row>
    <row r="298" spans="1:9" x14ac:dyDescent="0.35">
      <c r="A298" s="43">
        <v>26</v>
      </c>
      <c r="B298" s="44">
        <v>5.3</v>
      </c>
      <c r="C298" s="45">
        <v>30.67</v>
      </c>
      <c r="D298" s="46" t="s">
        <v>10</v>
      </c>
      <c r="G298" s="47">
        <f t="shared" si="7"/>
        <v>3094.02</v>
      </c>
      <c r="H298" t="b">
        <f>Table_15[[#This Row],[Temps d''achat]]&gt;9.3</f>
        <v>0</v>
      </c>
      <c r="I298" t="b">
        <f>Table_15[[#This Row],[Temps d''achat]]&lt;4</f>
        <v>0</v>
      </c>
    </row>
    <row r="299" spans="1:9" x14ac:dyDescent="0.35">
      <c r="A299" s="39">
        <v>31</v>
      </c>
      <c r="B299" s="40">
        <v>8.94</v>
      </c>
      <c r="C299" s="41">
        <v>49.92</v>
      </c>
      <c r="D299" s="42" t="s">
        <v>10</v>
      </c>
      <c r="G299" s="47">
        <f t="shared" si="6"/>
        <v>3116.56</v>
      </c>
      <c r="H299" t="b">
        <f>Table_15[[#This Row],[Temps d''achat]]&gt;9.3</f>
        <v>0</v>
      </c>
      <c r="I299" t="b">
        <f>Table_15[[#This Row],[Temps d''achat]]&lt;4</f>
        <v>0</v>
      </c>
    </row>
    <row r="300" spans="1:9" x14ac:dyDescent="0.35">
      <c r="A300" s="43">
        <v>28</v>
      </c>
      <c r="B300" s="44">
        <v>4.1399999999999997</v>
      </c>
      <c r="C300" s="45">
        <v>22.54</v>
      </c>
      <c r="D300" s="46" t="s">
        <v>10</v>
      </c>
      <c r="G300" s="47">
        <f t="shared" si="7"/>
        <v>3190.97</v>
      </c>
      <c r="H300" t="b">
        <f>Table_15[[#This Row],[Temps d''achat]]&gt;9.3</f>
        <v>0</v>
      </c>
      <c r="I300" t="b">
        <f>Table_15[[#This Row],[Temps d''achat]]&lt;4</f>
        <v>0</v>
      </c>
    </row>
    <row r="301" spans="1:9" x14ac:dyDescent="0.35">
      <c r="A301" s="39">
        <v>20</v>
      </c>
      <c r="B301" s="40">
        <v>6.68</v>
      </c>
      <c r="C301" s="41">
        <v>74.41</v>
      </c>
      <c r="D301" s="42" t="s">
        <v>10</v>
      </c>
      <c r="G301" s="47">
        <f t="shared" si="6"/>
        <v>3244.5899999999997</v>
      </c>
      <c r="H301" t="b">
        <f>Table_15[[#This Row],[Temps d''achat]]&gt;9.3</f>
        <v>0</v>
      </c>
      <c r="I301" t="b">
        <f>Table_15[[#This Row],[Temps d''achat]]&lt;4</f>
        <v>0</v>
      </c>
    </row>
    <row r="302" spans="1:9" x14ac:dyDescent="0.35">
      <c r="A302" s="43">
        <v>35</v>
      </c>
      <c r="B302" s="44">
        <v>8.08</v>
      </c>
      <c r="C302" s="45">
        <v>53.62</v>
      </c>
      <c r="D302" s="46" t="s">
        <v>10</v>
      </c>
      <c r="G302" s="47">
        <f t="shared" si="7"/>
        <v>3292.2799999999997</v>
      </c>
      <c r="H302" t="b">
        <f>Table_15[[#This Row],[Temps d''achat]]&gt;9.3</f>
        <v>0</v>
      </c>
      <c r="I302" t="b">
        <f>Table_15[[#This Row],[Temps d''achat]]&lt;4</f>
        <v>0</v>
      </c>
    </row>
    <row r="303" spans="1:9" x14ac:dyDescent="0.35">
      <c r="A303" s="39">
        <v>35</v>
      </c>
      <c r="B303" s="40">
        <v>6.33</v>
      </c>
      <c r="C303" s="41">
        <v>47.69</v>
      </c>
      <c r="D303" s="42" t="s">
        <v>10</v>
      </c>
      <c r="G303" s="47">
        <f t="shared" si="6"/>
        <v>3357.1099999999997</v>
      </c>
      <c r="H303" t="b">
        <f>Table_15[[#This Row],[Temps d''achat]]&gt;9.3</f>
        <v>0</v>
      </c>
      <c r="I303" t="b">
        <f>Table_15[[#This Row],[Temps d''achat]]&lt;4</f>
        <v>0</v>
      </c>
    </row>
    <row r="304" spans="1:9" x14ac:dyDescent="0.35">
      <c r="A304" s="43">
        <v>16</v>
      </c>
      <c r="B304" s="44">
        <v>9.99</v>
      </c>
      <c r="C304" s="53">
        <v>64.83</v>
      </c>
      <c r="D304" s="46" t="s">
        <v>10</v>
      </c>
      <c r="G304" s="47">
        <f t="shared" si="7"/>
        <v>3413.7</v>
      </c>
      <c r="H304" t="b">
        <f>Table_15[[#This Row],[Temps d''achat]]&gt;9.3</f>
        <v>1</v>
      </c>
      <c r="I304" t="b">
        <f>Table_15[[#This Row],[Temps d''achat]]&lt;4</f>
        <v>0</v>
      </c>
    </row>
    <row r="305" spans="1:9" x14ac:dyDescent="0.35">
      <c r="A305" s="39">
        <v>4</v>
      </c>
      <c r="B305" s="40">
        <v>5.83</v>
      </c>
      <c r="C305" s="41">
        <v>56.59</v>
      </c>
      <c r="D305" s="42" t="s">
        <v>10</v>
      </c>
      <c r="G305" s="47">
        <f t="shared" si="6"/>
        <v>3500.06</v>
      </c>
      <c r="H305" t="b">
        <f>Table_15[[#This Row],[Temps d''achat]]&gt;9.3</f>
        <v>0</v>
      </c>
      <c r="I305" t="b">
        <f>Table_15[[#This Row],[Temps d''achat]]&lt;4</f>
        <v>0</v>
      </c>
    </row>
    <row r="306" spans="1:9" x14ac:dyDescent="0.35">
      <c r="A306" s="43">
        <v>2</v>
      </c>
      <c r="B306" s="44">
        <v>8.5399999999999991</v>
      </c>
      <c r="C306" s="45">
        <v>86.36</v>
      </c>
      <c r="D306" s="46" t="s">
        <v>10</v>
      </c>
      <c r="G306" s="47">
        <f t="shared" si="7"/>
        <v>3522.64</v>
      </c>
      <c r="H306" t="b">
        <f>Table_15[[#This Row],[Temps d''achat]]&gt;9.3</f>
        <v>0</v>
      </c>
      <c r="I306" t="b">
        <f>Table_15[[#This Row],[Temps d''achat]]&lt;4</f>
        <v>0</v>
      </c>
    </row>
    <row r="307" spans="1:9" x14ac:dyDescent="0.35">
      <c r="A307" s="39">
        <v>30</v>
      </c>
      <c r="B307" s="40">
        <v>7.18</v>
      </c>
      <c r="C307" s="41">
        <v>22.58</v>
      </c>
      <c r="D307" s="42" t="s">
        <v>10</v>
      </c>
      <c r="G307" s="47">
        <f t="shared" si="6"/>
        <v>3638.0099999999998</v>
      </c>
      <c r="H307" t="b">
        <f>Table_15[[#This Row],[Temps d''achat]]&gt;9.3</f>
        <v>0</v>
      </c>
      <c r="I307" t="b">
        <f>Table_15[[#This Row],[Temps d''achat]]&lt;4</f>
        <v>0</v>
      </c>
    </row>
    <row r="308" spans="1:9" x14ac:dyDescent="0.35">
      <c r="A308" s="43">
        <v>32</v>
      </c>
      <c r="B308" s="44">
        <v>8.8000000000000007</v>
      </c>
      <c r="C308" s="45">
        <v>115.37</v>
      </c>
      <c r="D308" s="46" t="s">
        <v>10</v>
      </c>
      <c r="G308" s="47">
        <f t="shared" si="7"/>
        <v>3722.49</v>
      </c>
      <c r="H308" t="b">
        <f>Table_15[[#This Row],[Temps d''achat]]&gt;9.3</f>
        <v>0</v>
      </c>
      <c r="I308" t="b">
        <f>Table_15[[#This Row],[Temps d''achat]]&lt;4</f>
        <v>0</v>
      </c>
    </row>
    <row r="309" spans="1:9" x14ac:dyDescent="0.35">
      <c r="A309" s="39">
        <v>35</v>
      </c>
      <c r="B309" s="40">
        <v>9.33</v>
      </c>
      <c r="C309" s="52">
        <v>84.48</v>
      </c>
      <c r="D309" s="42" t="s">
        <v>10</v>
      </c>
      <c r="G309" s="47">
        <f t="shared" si="6"/>
        <v>3769.8599999999997</v>
      </c>
      <c r="H309" t="b">
        <f>Table_15[[#This Row],[Temps d''achat]]&gt;9.3</f>
        <v>1</v>
      </c>
      <c r="I309" t="b">
        <f>Table_15[[#This Row],[Temps d''achat]]&lt;4</f>
        <v>0</v>
      </c>
    </row>
    <row r="310" spans="1:9" x14ac:dyDescent="0.35">
      <c r="A310" s="43">
        <v>15</v>
      </c>
      <c r="B310" s="44">
        <v>8.98</v>
      </c>
      <c r="C310" s="45">
        <v>47.37</v>
      </c>
      <c r="D310" s="46" t="s">
        <v>10</v>
      </c>
      <c r="G310" s="47">
        <f t="shared" si="7"/>
        <v>3851.74</v>
      </c>
      <c r="H310" t="b">
        <f>Table_15[[#This Row],[Temps d''achat]]&gt;9.3</f>
        <v>0</v>
      </c>
      <c r="I310" t="b">
        <f>Table_15[[#This Row],[Temps d''achat]]&lt;4</f>
        <v>0</v>
      </c>
    </row>
    <row r="311" spans="1:9" x14ac:dyDescent="0.35">
      <c r="A311" s="39">
        <v>18</v>
      </c>
      <c r="B311" s="40">
        <v>6.84</v>
      </c>
      <c r="C311" s="41">
        <v>81.88</v>
      </c>
      <c r="D311" s="42" t="s">
        <v>10</v>
      </c>
      <c r="G311" s="47">
        <f t="shared" si="6"/>
        <v>3920.8399999999997</v>
      </c>
      <c r="H311" t="b">
        <f>Table_15[[#This Row],[Temps d''achat]]&gt;9.3</f>
        <v>0</v>
      </c>
      <c r="I311" t="b">
        <f>Table_15[[#This Row],[Temps d''achat]]&lt;4</f>
        <v>0</v>
      </c>
    </row>
    <row r="312" spans="1:9" x14ac:dyDescent="0.35">
      <c r="A312" s="43">
        <v>5</v>
      </c>
      <c r="B312" s="44">
        <v>7.66</v>
      </c>
      <c r="C312" s="45">
        <v>69.099999999999994</v>
      </c>
      <c r="D312" s="46" t="s">
        <v>10</v>
      </c>
      <c r="G312" s="47">
        <f t="shared" si="7"/>
        <v>3974.0099999999998</v>
      </c>
      <c r="H312" t="b">
        <f>Table_15[[#This Row],[Temps d''achat]]&gt;9.3</f>
        <v>0</v>
      </c>
      <c r="I312" t="b">
        <f>Table_15[[#This Row],[Temps d''achat]]&lt;4</f>
        <v>0</v>
      </c>
    </row>
    <row r="313" spans="1:9" x14ac:dyDescent="0.35">
      <c r="A313" s="39">
        <v>1</v>
      </c>
      <c r="B313" s="40">
        <v>7.93</v>
      </c>
      <c r="C313" s="41">
        <v>53.17</v>
      </c>
      <c r="D313" s="42" t="s">
        <v>10</v>
      </c>
      <c r="G313" s="47">
        <f t="shared" si="6"/>
        <v>4032.9999999999995</v>
      </c>
      <c r="H313" t="b">
        <f>Table_15[[#This Row],[Temps d''achat]]&gt;9.3</f>
        <v>0</v>
      </c>
      <c r="I313" t="b">
        <f>Table_15[[#This Row],[Temps d''achat]]&lt;4</f>
        <v>0</v>
      </c>
    </row>
    <row r="314" spans="1:9" x14ac:dyDescent="0.35">
      <c r="A314" s="43">
        <v>24</v>
      </c>
      <c r="B314" s="44">
        <v>4</v>
      </c>
      <c r="C314" s="45">
        <v>58.99</v>
      </c>
      <c r="D314" s="46" t="s">
        <v>10</v>
      </c>
      <c r="G314" s="47">
        <f t="shared" si="7"/>
        <v>4082.4799999999996</v>
      </c>
      <c r="H314" t="b">
        <f>Table_15[[#This Row],[Temps d''achat]]&gt;9.3</f>
        <v>0</v>
      </c>
      <c r="I314" t="b">
        <f>Table_15[[#This Row],[Temps d''achat]]&lt;4</f>
        <v>0</v>
      </c>
    </row>
    <row r="315" spans="1:9" x14ac:dyDescent="0.35">
      <c r="A315" s="39">
        <v>25</v>
      </c>
      <c r="B315" s="40">
        <v>5.97</v>
      </c>
      <c r="C315" s="41">
        <v>49.48</v>
      </c>
      <c r="D315" s="42" t="s">
        <v>10</v>
      </c>
      <c r="G315" s="47">
        <f t="shared" si="6"/>
        <v>4135.4799999999996</v>
      </c>
      <c r="H315" t="b">
        <f>Table_15[[#This Row],[Temps d''achat]]&gt;9.3</f>
        <v>0</v>
      </c>
      <c r="I315" t="b">
        <f>Table_15[[#This Row],[Temps d''achat]]&lt;4</f>
        <v>0</v>
      </c>
    </row>
    <row r="316" spans="1:9" x14ac:dyDescent="0.35">
      <c r="A316" s="43">
        <v>46</v>
      </c>
      <c r="B316" s="44">
        <v>5.45</v>
      </c>
      <c r="C316" s="45">
        <v>53</v>
      </c>
      <c r="D316" s="46" t="s">
        <v>10</v>
      </c>
      <c r="G316" s="47">
        <f t="shared" si="7"/>
        <v>4211.75</v>
      </c>
      <c r="H316" t="b">
        <f>Table_15[[#This Row],[Temps d''achat]]&gt;9.3</f>
        <v>0</v>
      </c>
      <c r="I316" t="b">
        <f>Table_15[[#This Row],[Temps d''achat]]&lt;4</f>
        <v>0</v>
      </c>
    </row>
    <row r="317" spans="1:9" x14ac:dyDescent="0.35">
      <c r="A317" s="39">
        <v>20</v>
      </c>
      <c r="B317" s="40">
        <v>4.78</v>
      </c>
      <c r="C317" s="41">
        <v>76.27</v>
      </c>
      <c r="D317" s="42" t="s">
        <v>10</v>
      </c>
      <c r="G317" s="47">
        <f t="shared" ref="G317:G379" si="8">G316+C318</f>
        <v>4273.01</v>
      </c>
      <c r="H317" t="b">
        <f>Table_15[[#This Row],[Temps d''achat]]&gt;9.3</f>
        <v>0</v>
      </c>
      <c r="I317" t="b">
        <f>Table_15[[#This Row],[Temps d''achat]]&lt;4</f>
        <v>0</v>
      </c>
    </row>
    <row r="318" spans="1:9" x14ac:dyDescent="0.35">
      <c r="A318" s="43">
        <v>48</v>
      </c>
      <c r="B318" s="44">
        <v>5.53</v>
      </c>
      <c r="C318" s="45">
        <v>61.26</v>
      </c>
      <c r="D318" s="46" t="s">
        <v>10</v>
      </c>
      <c r="G318" s="47">
        <f t="shared" ref="G318:G380" si="9">C319+G317</f>
        <v>4332.63</v>
      </c>
      <c r="H318" t="b">
        <f>Table_15[[#This Row],[Temps d''achat]]&gt;9.3</f>
        <v>0</v>
      </c>
      <c r="I318" t="b">
        <f>Table_15[[#This Row],[Temps d''achat]]&lt;4</f>
        <v>0</v>
      </c>
    </row>
    <row r="319" spans="1:9" x14ac:dyDescent="0.35">
      <c r="A319" s="39">
        <v>17</v>
      </c>
      <c r="B319" s="40">
        <v>9.17</v>
      </c>
      <c r="C319" s="41">
        <v>59.62</v>
      </c>
      <c r="D319" s="42" t="s">
        <v>10</v>
      </c>
      <c r="G319" s="47">
        <f t="shared" si="8"/>
        <v>4406.72</v>
      </c>
      <c r="H319" t="b">
        <f>Table_15[[#This Row],[Temps d''achat]]&gt;9.3</f>
        <v>0</v>
      </c>
      <c r="I319" t="b">
        <f>Table_15[[#This Row],[Temps d''achat]]&lt;4</f>
        <v>0</v>
      </c>
    </row>
    <row r="320" spans="1:9" x14ac:dyDescent="0.35">
      <c r="A320" s="43">
        <v>35</v>
      </c>
      <c r="B320" s="44">
        <v>5.05</v>
      </c>
      <c r="C320" s="45">
        <v>74.09</v>
      </c>
      <c r="D320" s="46" t="s">
        <v>10</v>
      </c>
      <c r="G320" s="47">
        <f t="shared" si="9"/>
        <v>4449.41</v>
      </c>
      <c r="H320" t="b">
        <f>Table_15[[#This Row],[Temps d''achat]]&gt;9.3</f>
        <v>0</v>
      </c>
      <c r="I320" t="b">
        <f>Table_15[[#This Row],[Temps d''achat]]&lt;4</f>
        <v>0</v>
      </c>
    </row>
    <row r="321" spans="1:9" x14ac:dyDescent="0.35">
      <c r="A321" s="39">
        <v>30</v>
      </c>
      <c r="B321" s="40">
        <v>8.6</v>
      </c>
      <c r="C321" s="41">
        <v>42.69</v>
      </c>
      <c r="D321" s="42" t="s">
        <v>10</v>
      </c>
      <c r="G321" s="47">
        <f t="shared" si="8"/>
        <v>4476.18</v>
      </c>
      <c r="H321" t="b">
        <f>Table_15[[#This Row],[Temps d''achat]]&gt;9.3</f>
        <v>0</v>
      </c>
      <c r="I321" t="b">
        <f>Table_15[[#This Row],[Temps d''achat]]&lt;4</f>
        <v>0</v>
      </c>
    </row>
    <row r="322" spans="1:9" x14ac:dyDescent="0.35">
      <c r="A322" s="43">
        <v>19</v>
      </c>
      <c r="B322" s="44">
        <v>6.41</v>
      </c>
      <c r="C322" s="45">
        <v>26.77</v>
      </c>
      <c r="D322" s="46" t="s">
        <v>10</v>
      </c>
      <c r="G322" s="47">
        <f t="shared" si="9"/>
        <v>4558.4900000000007</v>
      </c>
      <c r="H322" t="b">
        <f>Table_15[[#This Row],[Temps d''achat]]&gt;9.3</f>
        <v>0</v>
      </c>
      <c r="I322" t="b">
        <f>Table_15[[#This Row],[Temps d''achat]]&lt;4</f>
        <v>0</v>
      </c>
    </row>
    <row r="323" spans="1:9" x14ac:dyDescent="0.35">
      <c r="A323" s="39">
        <v>15</v>
      </c>
      <c r="B323" s="40">
        <v>9.25</v>
      </c>
      <c r="C323" s="41">
        <v>82.31</v>
      </c>
      <c r="D323" s="42" t="s">
        <v>10</v>
      </c>
      <c r="G323" s="47">
        <f t="shared" si="8"/>
        <v>4631.7400000000007</v>
      </c>
      <c r="H323" t="b">
        <f>Table_15[[#This Row],[Temps d''achat]]&gt;9.3</f>
        <v>0</v>
      </c>
      <c r="I323" t="b">
        <f>Table_15[[#This Row],[Temps d''achat]]&lt;4</f>
        <v>0</v>
      </c>
    </row>
    <row r="324" spans="1:9" x14ac:dyDescent="0.35">
      <c r="A324" s="43">
        <v>48</v>
      </c>
      <c r="B324" s="44">
        <v>6.78</v>
      </c>
      <c r="C324" s="45">
        <v>73.25</v>
      </c>
      <c r="D324" s="46" t="s">
        <v>10</v>
      </c>
      <c r="G324" s="47">
        <f t="shared" si="9"/>
        <v>4667.3200000000006</v>
      </c>
      <c r="H324" t="b">
        <f>Table_15[[#This Row],[Temps d''achat]]&gt;9.3</f>
        <v>0</v>
      </c>
      <c r="I324" t="b">
        <f>Table_15[[#This Row],[Temps d''achat]]&lt;4</f>
        <v>0</v>
      </c>
    </row>
    <row r="325" spans="1:9" x14ac:dyDescent="0.35">
      <c r="A325" s="39">
        <v>13</v>
      </c>
      <c r="B325" s="40">
        <v>5.42</v>
      </c>
      <c r="C325" s="41">
        <v>35.58</v>
      </c>
      <c r="D325" s="42" t="s">
        <v>10</v>
      </c>
      <c r="G325" s="47">
        <f t="shared" si="8"/>
        <v>4686.3400000000011</v>
      </c>
      <c r="H325" t="b">
        <f>Table_15[[#This Row],[Temps d''achat]]&gt;9.3</f>
        <v>0</v>
      </c>
      <c r="I325" t="b">
        <f>Table_15[[#This Row],[Temps d''achat]]&lt;4</f>
        <v>0</v>
      </c>
    </row>
    <row r="326" spans="1:9" x14ac:dyDescent="0.35">
      <c r="A326" s="43">
        <v>25</v>
      </c>
      <c r="B326" s="44">
        <v>7.37</v>
      </c>
      <c r="C326" s="45">
        <v>19.02</v>
      </c>
      <c r="D326" s="46" t="s">
        <v>10</v>
      </c>
      <c r="G326" s="47">
        <f t="shared" si="9"/>
        <v>4762.7100000000009</v>
      </c>
      <c r="H326" t="b">
        <f>Table_15[[#This Row],[Temps d''achat]]&gt;9.3</f>
        <v>0</v>
      </c>
      <c r="I326" t="b">
        <f>Table_15[[#This Row],[Temps d''achat]]&lt;4</f>
        <v>0</v>
      </c>
    </row>
    <row r="327" spans="1:9" x14ac:dyDescent="0.35">
      <c r="A327" s="39">
        <v>15</v>
      </c>
      <c r="B327" s="40">
        <v>4.96</v>
      </c>
      <c r="C327" s="41">
        <v>76.37</v>
      </c>
      <c r="D327" s="42" t="s">
        <v>10</v>
      </c>
      <c r="G327" s="47">
        <f t="shared" si="8"/>
        <v>4827.4000000000005</v>
      </c>
      <c r="H327" t="b">
        <f>Table_15[[#This Row],[Temps d''achat]]&gt;9.3</f>
        <v>0</v>
      </c>
      <c r="I327" t="b">
        <f>Table_15[[#This Row],[Temps d''achat]]&lt;4</f>
        <v>0</v>
      </c>
    </row>
    <row r="328" spans="1:9" x14ac:dyDescent="0.35">
      <c r="A328" s="43">
        <v>21</v>
      </c>
      <c r="B328" s="44">
        <v>7.27</v>
      </c>
      <c r="C328" s="45">
        <v>64.69</v>
      </c>
      <c r="D328" s="46" t="s">
        <v>10</v>
      </c>
      <c r="G328" s="47">
        <f t="shared" si="9"/>
        <v>4849.13</v>
      </c>
      <c r="H328" t="b">
        <f>Table_15[[#This Row],[Temps d''achat]]&gt;9.3</f>
        <v>0</v>
      </c>
      <c r="I328" t="b">
        <f>Table_15[[#This Row],[Temps d''achat]]&lt;4</f>
        <v>0</v>
      </c>
    </row>
    <row r="329" spans="1:9" x14ac:dyDescent="0.35">
      <c r="A329" s="39">
        <v>32</v>
      </c>
      <c r="B329" s="40">
        <v>6.31</v>
      </c>
      <c r="C329" s="41">
        <v>21.73</v>
      </c>
      <c r="D329" s="42" t="s">
        <v>10</v>
      </c>
      <c r="G329" s="47">
        <f t="shared" si="8"/>
        <v>4896.43</v>
      </c>
      <c r="H329" t="b">
        <f>Table_15[[#This Row],[Temps d''achat]]&gt;9.3</f>
        <v>0</v>
      </c>
      <c r="I329" t="b">
        <f>Table_15[[#This Row],[Temps d''achat]]&lt;4</f>
        <v>0</v>
      </c>
    </row>
    <row r="330" spans="1:9" x14ac:dyDescent="0.35">
      <c r="A330" s="43">
        <v>26</v>
      </c>
      <c r="B330" s="44">
        <v>8.91</v>
      </c>
      <c r="C330" s="45">
        <v>47.3</v>
      </c>
      <c r="D330" s="46" t="s">
        <v>10</v>
      </c>
      <c r="G330" s="47">
        <f t="shared" si="9"/>
        <v>4974.3500000000004</v>
      </c>
      <c r="H330" t="b">
        <f>Table_15[[#This Row],[Temps d''achat]]&gt;9.3</f>
        <v>0</v>
      </c>
      <c r="I330" t="b">
        <f>Table_15[[#This Row],[Temps d''achat]]&lt;4</f>
        <v>0</v>
      </c>
    </row>
    <row r="331" spans="1:9" x14ac:dyDescent="0.35">
      <c r="A331" s="39">
        <v>28</v>
      </c>
      <c r="B331" s="40">
        <v>9.8699999999999992</v>
      </c>
      <c r="C331" s="52">
        <v>77.92</v>
      </c>
      <c r="D331" s="42" t="s">
        <v>10</v>
      </c>
      <c r="G331" s="47">
        <f t="shared" si="8"/>
        <v>5032.3</v>
      </c>
      <c r="H331" t="b">
        <f>Table_15[[#This Row],[Temps d''achat]]&gt;9.3</f>
        <v>1</v>
      </c>
      <c r="I331" t="b">
        <f>Table_15[[#This Row],[Temps d''achat]]&lt;4</f>
        <v>0</v>
      </c>
    </row>
    <row r="332" spans="1:9" x14ac:dyDescent="0.35">
      <c r="A332" s="43">
        <v>5</v>
      </c>
      <c r="B332" s="44">
        <v>4.24</v>
      </c>
      <c r="C332" s="45">
        <v>57.95</v>
      </c>
      <c r="D332" s="46" t="s">
        <v>10</v>
      </c>
      <c r="G332" s="47">
        <f t="shared" si="9"/>
        <v>5076.59</v>
      </c>
      <c r="H332" t="b">
        <f>Table_15[[#This Row],[Temps d''achat]]&gt;9.3</f>
        <v>0</v>
      </c>
      <c r="I332" t="b">
        <f>Table_15[[#This Row],[Temps d''achat]]&lt;4</f>
        <v>0</v>
      </c>
    </row>
    <row r="333" spans="1:9" x14ac:dyDescent="0.35">
      <c r="A333" s="39">
        <v>21</v>
      </c>
      <c r="B333" s="40">
        <v>4.2</v>
      </c>
      <c r="C333" s="41">
        <v>44.29</v>
      </c>
      <c r="D333" s="42" t="s">
        <v>10</v>
      </c>
      <c r="G333" s="47">
        <f t="shared" si="8"/>
        <v>5151.03</v>
      </c>
      <c r="H333" t="b">
        <f>Table_15[[#This Row],[Temps d''achat]]&gt;9.3</f>
        <v>0</v>
      </c>
      <c r="I333" t="b">
        <f>Table_15[[#This Row],[Temps d''achat]]&lt;4</f>
        <v>0</v>
      </c>
    </row>
    <row r="334" spans="1:9" x14ac:dyDescent="0.35">
      <c r="A334" s="43">
        <v>35</v>
      </c>
      <c r="B334" s="44">
        <v>5.58</v>
      </c>
      <c r="C334" s="45">
        <v>74.44</v>
      </c>
      <c r="D334" s="46" t="s">
        <v>10</v>
      </c>
      <c r="G334" s="47">
        <f t="shared" si="9"/>
        <v>5198.53</v>
      </c>
      <c r="H334" t="b">
        <f>Table_15[[#This Row],[Temps d''achat]]&gt;9.3</f>
        <v>0</v>
      </c>
      <c r="I334" t="b">
        <f>Table_15[[#This Row],[Temps d''achat]]&lt;4</f>
        <v>0</v>
      </c>
    </row>
    <row r="335" spans="1:9" x14ac:dyDescent="0.35">
      <c r="A335" s="39">
        <v>9</v>
      </c>
      <c r="B335" s="40">
        <v>5.68</v>
      </c>
      <c r="C335" s="41">
        <v>47.5</v>
      </c>
      <c r="D335" s="42" t="s">
        <v>10</v>
      </c>
      <c r="G335" s="47">
        <f t="shared" si="8"/>
        <v>5299.25</v>
      </c>
      <c r="H335" t="b">
        <f>Table_15[[#This Row],[Temps d''achat]]&gt;9.3</f>
        <v>0</v>
      </c>
      <c r="I335" t="b">
        <f>Table_15[[#This Row],[Temps d''achat]]&lt;4</f>
        <v>0</v>
      </c>
    </row>
    <row r="336" spans="1:9" x14ac:dyDescent="0.35">
      <c r="A336" s="43">
        <v>15</v>
      </c>
      <c r="B336" s="44">
        <v>9.69</v>
      </c>
      <c r="C336" s="53">
        <v>100.72</v>
      </c>
      <c r="D336" s="46" t="s">
        <v>10</v>
      </c>
      <c r="G336" s="47">
        <f t="shared" si="9"/>
        <v>5380.78</v>
      </c>
      <c r="H336" t="b">
        <f>Table_15[[#This Row],[Temps d''achat]]&gt;9.3</f>
        <v>1</v>
      </c>
      <c r="I336" t="b">
        <f>Table_15[[#This Row],[Temps d''achat]]&lt;4</f>
        <v>0</v>
      </c>
    </row>
    <row r="337" spans="1:9" x14ac:dyDescent="0.35">
      <c r="A337" s="39">
        <v>36</v>
      </c>
      <c r="B337" s="40">
        <v>8.11</v>
      </c>
      <c r="C337" s="41">
        <v>81.53</v>
      </c>
      <c r="D337" s="42" t="s">
        <v>10</v>
      </c>
      <c r="G337" s="47">
        <f t="shared" si="8"/>
        <v>5438.95</v>
      </c>
      <c r="H337" t="b">
        <f>Table_15[[#This Row],[Temps d''achat]]&gt;9.3</f>
        <v>0</v>
      </c>
      <c r="I337" t="b">
        <f>Table_15[[#This Row],[Temps d''achat]]&lt;4</f>
        <v>0</v>
      </c>
    </row>
    <row r="338" spans="1:9" x14ac:dyDescent="0.35">
      <c r="A338" s="43">
        <v>20</v>
      </c>
      <c r="B338" s="44">
        <v>5.0999999999999996</v>
      </c>
      <c r="C338" s="45">
        <v>58.17</v>
      </c>
      <c r="D338" s="46" t="s">
        <v>10</v>
      </c>
      <c r="G338" s="47">
        <f t="shared" si="9"/>
        <v>5480.1799999999994</v>
      </c>
      <c r="H338" t="b">
        <f>Table_15[[#This Row],[Temps d''achat]]&gt;9.3</f>
        <v>0</v>
      </c>
      <c r="I338" t="b">
        <f>Table_15[[#This Row],[Temps d''achat]]&lt;4</f>
        <v>0</v>
      </c>
    </row>
    <row r="339" spans="1:9" x14ac:dyDescent="0.35">
      <c r="A339" s="39">
        <v>20</v>
      </c>
      <c r="B339" s="40">
        <v>8.35</v>
      </c>
      <c r="C339" s="41">
        <v>41.23</v>
      </c>
      <c r="D339" s="42" t="s">
        <v>10</v>
      </c>
      <c r="G339" s="47">
        <f t="shared" si="8"/>
        <v>5557.4999999999991</v>
      </c>
      <c r="H339" t="b">
        <f>Table_15[[#This Row],[Temps d''achat]]&gt;9.3</f>
        <v>0</v>
      </c>
      <c r="I339" t="b">
        <f>Table_15[[#This Row],[Temps d''achat]]&lt;4</f>
        <v>0</v>
      </c>
    </row>
    <row r="340" spans="1:9" x14ac:dyDescent="0.35">
      <c r="A340" s="43">
        <v>41</v>
      </c>
      <c r="B340" s="44">
        <v>5.74</v>
      </c>
      <c r="C340" s="45">
        <v>77.319999999999993</v>
      </c>
      <c r="D340" s="46" t="s">
        <v>10</v>
      </c>
      <c r="G340" s="47">
        <f t="shared" si="9"/>
        <v>5612.2399999999989</v>
      </c>
      <c r="H340" t="b">
        <f>Table_15[[#This Row],[Temps d''achat]]&gt;9.3</f>
        <v>0</v>
      </c>
      <c r="I340" t="b">
        <f>Table_15[[#This Row],[Temps d''achat]]&lt;4</f>
        <v>0</v>
      </c>
    </row>
    <row r="341" spans="1:9" x14ac:dyDescent="0.35">
      <c r="A341" s="39">
        <v>5</v>
      </c>
      <c r="B341" s="40">
        <v>6.85</v>
      </c>
      <c r="C341" s="41">
        <v>54.74</v>
      </c>
      <c r="D341" s="42" t="s">
        <v>10</v>
      </c>
      <c r="G341" s="47">
        <f t="shared" si="8"/>
        <v>5660.1499999999987</v>
      </c>
      <c r="H341" t="b">
        <f>Table_15[[#This Row],[Temps d''achat]]&gt;9.3</f>
        <v>0</v>
      </c>
      <c r="I341" t="b">
        <f>Table_15[[#This Row],[Temps d''achat]]&lt;4</f>
        <v>0</v>
      </c>
    </row>
    <row r="342" spans="1:9" x14ac:dyDescent="0.35">
      <c r="A342" s="43">
        <v>7</v>
      </c>
      <c r="B342" s="44">
        <v>9.5</v>
      </c>
      <c r="C342" s="53">
        <v>47.91</v>
      </c>
      <c r="D342" s="46" t="s">
        <v>10</v>
      </c>
      <c r="G342" s="47">
        <f t="shared" si="9"/>
        <v>5738.1399999999985</v>
      </c>
      <c r="H342" t="b">
        <f>Table_15[[#This Row],[Temps d''achat]]&gt;9.3</f>
        <v>1</v>
      </c>
      <c r="I342" t="b">
        <f>Table_15[[#This Row],[Temps d''achat]]&lt;4</f>
        <v>0</v>
      </c>
    </row>
    <row r="343" spans="1:9" x14ac:dyDescent="0.35">
      <c r="A343" s="39">
        <v>48</v>
      </c>
      <c r="B343" s="40">
        <v>5.86</v>
      </c>
      <c r="C343" s="41">
        <v>77.989999999999995</v>
      </c>
      <c r="D343" s="42" t="s">
        <v>10</v>
      </c>
      <c r="G343" s="47">
        <f t="shared" si="8"/>
        <v>5782.4099999999989</v>
      </c>
      <c r="H343" t="b">
        <f>Table_15[[#This Row],[Temps d''achat]]&gt;9.3</f>
        <v>0</v>
      </c>
      <c r="I343" t="b">
        <f>Table_15[[#This Row],[Temps d''achat]]&lt;4</f>
        <v>0</v>
      </c>
    </row>
    <row r="344" spans="1:9" x14ac:dyDescent="0.35">
      <c r="A344" s="43">
        <v>27</v>
      </c>
      <c r="B344" s="44">
        <v>6.5</v>
      </c>
      <c r="C344" s="45">
        <v>44.27</v>
      </c>
      <c r="D344" s="46" t="s">
        <v>10</v>
      </c>
      <c r="G344" s="47">
        <f t="shared" si="9"/>
        <v>5873.9399999999987</v>
      </c>
      <c r="H344" t="b">
        <f>Table_15[[#This Row],[Temps d''achat]]&gt;9.3</f>
        <v>0</v>
      </c>
      <c r="I344" t="b">
        <f>Table_15[[#This Row],[Temps d''achat]]&lt;4</f>
        <v>0</v>
      </c>
    </row>
    <row r="345" spans="1:9" x14ac:dyDescent="0.35">
      <c r="A345" s="39">
        <v>44</v>
      </c>
      <c r="B345" s="40">
        <v>8.7899999999999991</v>
      </c>
      <c r="C345" s="41">
        <v>91.53</v>
      </c>
      <c r="D345" s="42" t="s">
        <v>10</v>
      </c>
      <c r="G345" s="47">
        <f t="shared" si="8"/>
        <v>5914.079999999999</v>
      </c>
      <c r="H345" t="b">
        <f>Table_15[[#This Row],[Temps d''achat]]&gt;9.3</f>
        <v>0</v>
      </c>
      <c r="I345" t="b">
        <f>Table_15[[#This Row],[Temps d''achat]]&lt;4</f>
        <v>0</v>
      </c>
    </row>
    <row r="346" spans="1:9" x14ac:dyDescent="0.35">
      <c r="A346" s="43">
        <v>36</v>
      </c>
      <c r="B346" s="44">
        <v>6.71</v>
      </c>
      <c r="C346" s="45">
        <v>40.14</v>
      </c>
      <c r="D346" s="46" t="s">
        <v>10</v>
      </c>
      <c r="G346" s="47">
        <f t="shared" si="9"/>
        <v>5977.0399999999991</v>
      </c>
      <c r="H346" t="b">
        <f>Table_15[[#This Row],[Temps d''achat]]&gt;9.3</f>
        <v>0</v>
      </c>
      <c r="I346" t="b">
        <f>Table_15[[#This Row],[Temps d''achat]]&lt;4</f>
        <v>0</v>
      </c>
    </row>
    <row r="347" spans="1:9" x14ac:dyDescent="0.35">
      <c r="A347" s="39">
        <v>10</v>
      </c>
      <c r="B347" s="40">
        <v>7.27</v>
      </c>
      <c r="C347" s="41">
        <v>62.96</v>
      </c>
      <c r="D347" s="42" t="s">
        <v>10</v>
      </c>
      <c r="G347" s="47">
        <f t="shared" si="8"/>
        <v>6053.4099999999989</v>
      </c>
      <c r="H347" t="b">
        <f>Table_15[[#This Row],[Temps d''achat]]&gt;9.3</f>
        <v>0</v>
      </c>
      <c r="I347" t="b">
        <f>Table_15[[#This Row],[Temps d''achat]]&lt;4</f>
        <v>0</v>
      </c>
    </row>
    <row r="348" spans="1:9" x14ac:dyDescent="0.35">
      <c r="A348" s="43">
        <v>29</v>
      </c>
      <c r="B348" s="44">
        <v>6.91</v>
      </c>
      <c r="C348" s="45">
        <v>76.37</v>
      </c>
      <c r="D348" s="46" t="s">
        <v>10</v>
      </c>
      <c r="G348" s="47">
        <f t="shared" si="9"/>
        <v>6138.6999999999989</v>
      </c>
      <c r="H348" t="b">
        <f>Table_15[[#This Row],[Temps d''achat]]&gt;9.3</f>
        <v>0</v>
      </c>
      <c r="I348" t="b">
        <f>Table_15[[#This Row],[Temps d''achat]]&lt;4</f>
        <v>0</v>
      </c>
    </row>
    <row r="349" spans="1:9" x14ac:dyDescent="0.35">
      <c r="A349" s="39">
        <v>36</v>
      </c>
      <c r="B349" s="40">
        <v>6.94</v>
      </c>
      <c r="C349" s="41">
        <v>85.29</v>
      </c>
      <c r="D349" s="42" t="s">
        <v>10</v>
      </c>
      <c r="G349" s="47">
        <f t="shared" si="8"/>
        <v>6181.1599999999989</v>
      </c>
      <c r="H349" t="b">
        <f>Table_15[[#This Row],[Temps d''achat]]&gt;9.3</f>
        <v>0</v>
      </c>
      <c r="I349" t="b">
        <f>Table_15[[#This Row],[Temps d''achat]]&lt;4</f>
        <v>0</v>
      </c>
    </row>
    <row r="350" spans="1:9" x14ac:dyDescent="0.35">
      <c r="A350" s="43">
        <v>17</v>
      </c>
      <c r="B350" s="44">
        <v>5.24</v>
      </c>
      <c r="C350" s="45">
        <v>42.46</v>
      </c>
      <c r="D350" s="46" t="s">
        <v>10</v>
      </c>
      <c r="G350" s="47">
        <f t="shared" si="9"/>
        <v>6215.5699999999988</v>
      </c>
      <c r="H350" t="b">
        <f>Table_15[[#This Row],[Temps d''achat]]&gt;9.3</f>
        <v>0</v>
      </c>
      <c r="I350" t="b">
        <f>Table_15[[#This Row],[Temps d''achat]]&lt;4</f>
        <v>0</v>
      </c>
    </row>
    <row r="351" spans="1:9" x14ac:dyDescent="0.35">
      <c r="A351" s="39">
        <v>9</v>
      </c>
      <c r="B351" s="40">
        <v>4.4400000000000004</v>
      </c>
      <c r="C351" s="41">
        <v>34.409999999999997</v>
      </c>
      <c r="D351" s="42" t="s">
        <v>10</v>
      </c>
      <c r="G351" s="47">
        <f t="shared" si="8"/>
        <v>6270.2799999999988</v>
      </c>
      <c r="H351" t="b">
        <f>Table_15[[#This Row],[Temps d''achat]]&gt;9.3</f>
        <v>0</v>
      </c>
      <c r="I351" t="b">
        <f>Table_15[[#This Row],[Temps d''achat]]&lt;4</f>
        <v>0</v>
      </c>
    </row>
    <row r="352" spans="1:9" x14ac:dyDescent="0.35">
      <c r="A352" s="43">
        <v>28</v>
      </c>
      <c r="B352" s="44">
        <v>7.58</v>
      </c>
      <c r="C352" s="45">
        <v>54.71</v>
      </c>
      <c r="D352" s="46" t="s">
        <v>10</v>
      </c>
      <c r="G352" s="47">
        <f t="shared" si="9"/>
        <v>6359.3599999999988</v>
      </c>
      <c r="H352" t="b">
        <f>Table_15[[#This Row],[Temps d''achat]]&gt;9.3</f>
        <v>0</v>
      </c>
      <c r="I352" t="b">
        <f>Table_15[[#This Row],[Temps d''achat]]&lt;4</f>
        <v>0</v>
      </c>
    </row>
    <row r="353" spans="1:9" x14ac:dyDescent="0.35">
      <c r="A353" s="39">
        <v>16</v>
      </c>
      <c r="B353" s="40">
        <v>9.0399999999999991</v>
      </c>
      <c r="C353" s="41">
        <v>89.08</v>
      </c>
      <c r="D353" s="42" t="s">
        <v>10</v>
      </c>
      <c r="G353" s="47">
        <f t="shared" si="8"/>
        <v>6423.2699999999986</v>
      </c>
      <c r="H353" t="b">
        <f>Table_15[[#This Row],[Temps d''achat]]&gt;9.3</f>
        <v>0</v>
      </c>
      <c r="I353" t="b">
        <f>Table_15[[#This Row],[Temps d''achat]]&lt;4</f>
        <v>0</v>
      </c>
    </row>
    <row r="354" spans="1:9" x14ac:dyDescent="0.35">
      <c r="A354" s="43">
        <v>20</v>
      </c>
      <c r="B354" s="44">
        <v>7.84</v>
      </c>
      <c r="C354" s="45">
        <v>63.91</v>
      </c>
      <c r="D354" s="46" t="s">
        <v>10</v>
      </c>
      <c r="G354" s="47">
        <f t="shared" si="9"/>
        <v>6482.4399999999987</v>
      </c>
      <c r="H354" t="b">
        <f>Table_15[[#This Row],[Temps d''achat]]&gt;9.3</f>
        <v>0</v>
      </c>
      <c r="I354" t="b">
        <f>Table_15[[#This Row],[Temps d''achat]]&lt;4</f>
        <v>0</v>
      </c>
    </row>
    <row r="355" spans="1:9" x14ac:dyDescent="0.35">
      <c r="A355" s="39">
        <v>24</v>
      </c>
      <c r="B355" s="40">
        <v>5.18</v>
      </c>
      <c r="C355" s="41">
        <v>59.17</v>
      </c>
      <c r="D355" s="42" t="s">
        <v>10</v>
      </c>
      <c r="G355" s="47">
        <f t="shared" si="8"/>
        <v>6557.1799999999985</v>
      </c>
      <c r="H355" t="b">
        <f>Table_15[[#This Row],[Temps d''achat]]&gt;9.3</f>
        <v>0</v>
      </c>
      <c r="I355" t="b">
        <f>Table_15[[#This Row],[Temps d''achat]]&lt;4</f>
        <v>0</v>
      </c>
    </row>
    <row r="356" spans="1:9" x14ac:dyDescent="0.35">
      <c r="A356" s="43">
        <v>46</v>
      </c>
      <c r="B356" s="44">
        <v>8.14</v>
      </c>
      <c r="C356" s="45">
        <v>74.739999999999995</v>
      </c>
      <c r="D356" s="46" t="s">
        <v>10</v>
      </c>
      <c r="G356" s="47">
        <f t="shared" si="9"/>
        <v>6637.2099999999982</v>
      </c>
      <c r="H356" t="b">
        <f>Table_15[[#This Row],[Temps d''achat]]&gt;9.3</f>
        <v>0</v>
      </c>
      <c r="I356" t="b">
        <f>Table_15[[#This Row],[Temps d''achat]]&lt;4</f>
        <v>0</v>
      </c>
    </row>
    <row r="357" spans="1:9" x14ac:dyDescent="0.35">
      <c r="A357" s="39">
        <v>9</v>
      </c>
      <c r="B357" s="40">
        <v>9.57</v>
      </c>
      <c r="C357" s="52">
        <v>80.03</v>
      </c>
      <c r="D357" s="42" t="s">
        <v>10</v>
      </c>
      <c r="G357" s="47">
        <f t="shared" si="8"/>
        <v>6704.2299999999987</v>
      </c>
      <c r="H357" t="b">
        <f>Table_15[[#This Row],[Temps d''achat]]&gt;9.3</f>
        <v>1</v>
      </c>
      <c r="I357" t="b">
        <f>Table_15[[#This Row],[Temps d''achat]]&lt;4</f>
        <v>0</v>
      </c>
    </row>
    <row r="358" spans="1:9" x14ac:dyDescent="0.35">
      <c r="A358" s="43">
        <v>56</v>
      </c>
      <c r="B358" s="44">
        <v>6.51</v>
      </c>
      <c r="C358" s="45">
        <v>67.02</v>
      </c>
      <c r="D358" s="46" t="s">
        <v>10</v>
      </c>
      <c r="G358" s="47">
        <f t="shared" si="9"/>
        <v>6795.3899999999985</v>
      </c>
      <c r="H358" t="b">
        <f>Table_15[[#This Row],[Temps d''achat]]&gt;9.3</f>
        <v>0</v>
      </c>
      <c r="I358" t="b">
        <f>Table_15[[#This Row],[Temps d''achat]]&lt;4</f>
        <v>0</v>
      </c>
    </row>
    <row r="359" spans="1:9" x14ac:dyDescent="0.35">
      <c r="A359" s="39">
        <v>37</v>
      </c>
      <c r="B359" s="40">
        <v>8.65</v>
      </c>
      <c r="C359" s="41">
        <v>91.16</v>
      </c>
      <c r="D359" s="42" t="s">
        <v>10</v>
      </c>
      <c r="G359" s="47">
        <f t="shared" si="8"/>
        <v>6850.6999999999989</v>
      </c>
      <c r="H359" t="b">
        <f>Table_15[[#This Row],[Temps d''achat]]&gt;9.3</f>
        <v>0</v>
      </c>
      <c r="I359" t="b">
        <f>Table_15[[#This Row],[Temps d''achat]]&lt;4</f>
        <v>0</v>
      </c>
    </row>
    <row r="360" spans="1:9" x14ac:dyDescent="0.35">
      <c r="A360" s="43">
        <v>22</v>
      </c>
      <c r="B360" s="44">
        <v>6.09</v>
      </c>
      <c r="C360" s="45">
        <v>55.31</v>
      </c>
      <c r="D360" s="46" t="s">
        <v>10</v>
      </c>
      <c r="G360" s="47">
        <f t="shared" si="9"/>
        <v>6885.4699999999993</v>
      </c>
      <c r="H360" t="b">
        <f>Table_15[[#This Row],[Temps d''achat]]&gt;9.3</f>
        <v>0</v>
      </c>
      <c r="I360" t="b">
        <f>Table_15[[#This Row],[Temps d''achat]]&lt;4</f>
        <v>0</v>
      </c>
    </row>
    <row r="361" spans="1:9" x14ac:dyDescent="0.35">
      <c r="A361" s="39">
        <v>19</v>
      </c>
      <c r="B361" s="40">
        <v>7.79</v>
      </c>
      <c r="C361" s="41">
        <v>34.770000000000003</v>
      </c>
      <c r="D361" s="42" t="s">
        <v>10</v>
      </c>
      <c r="G361" s="47">
        <f t="shared" si="8"/>
        <v>6909.8099999999995</v>
      </c>
      <c r="H361" t="b">
        <f>Table_15[[#This Row],[Temps d''achat]]&gt;9.3</f>
        <v>0</v>
      </c>
      <c r="I361" t="b">
        <f>Table_15[[#This Row],[Temps d''achat]]&lt;4</f>
        <v>0</v>
      </c>
    </row>
    <row r="362" spans="1:9" x14ac:dyDescent="0.35">
      <c r="A362" s="43">
        <v>50</v>
      </c>
      <c r="B362" s="44">
        <v>5.58</v>
      </c>
      <c r="C362" s="45">
        <v>24.34</v>
      </c>
      <c r="D362" s="46" t="s">
        <v>10</v>
      </c>
      <c r="G362" s="47">
        <f t="shared" si="9"/>
        <v>6999.07</v>
      </c>
      <c r="H362" t="b">
        <f>Table_15[[#This Row],[Temps d''achat]]&gt;9.3</f>
        <v>0</v>
      </c>
      <c r="I362" t="b">
        <f>Table_15[[#This Row],[Temps d''achat]]&lt;4</f>
        <v>0</v>
      </c>
    </row>
    <row r="363" spans="1:9" x14ac:dyDescent="0.35">
      <c r="A363" s="39">
        <v>32</v>
      </c>
      <c r="B363" s="40">
        <v>8.68</v>
      </c>
      <c r="C363" s="41">
        <v>89.26</v>
      </c>
      <c r="D363" s="42" t="s">
        <v>10</v>
      </c>
      <c r="G363" s="47">
        <f t="shared" si="8"/>
        <v>7043.46</v>
      </c>
      <c r="H363" t="b">
        <f>Table_15[[#This Row],[Temps d''achat]]&gt;9.3</f>
        <v>0</v>
      </c>
      <c r="I363" t="b">
        <f>Table_15[[#This Row],[Temps d''achat]]&lt;4</f>
        <v>0</v>
      </c>
    </row>
    <row r="364" spans="1:9" x14ac:dyDescent="0.35">
      <c r="A364" s="43">
        <v>38</v>
      </c>
      <c r="B364" s="44">
        <v>7.81</v>
      </c>
      <c r="C364" s="45">
        <v>44.39</v>
      </c>
      <c r="D364" s="46" t="s">
        <v>10</v>
      </c>
      <c r="G364" s="47">
        <f t="shared" si="9"/>
        <v>7072.22</v>
      </c>
      <c r="H364" t="b">
        <f>Table_15[[#This Row],[Temps d''achat]]&gt;9.3</f>
        <v>0</v>
      </c>
      <c r="I364" t="b">
        <f>Table_15[[#This Row],[Temps d''achat]]&lt;4</f>
        <v>0</v>
      </c>
    </row>
    <row r="365" spans="1:9" x14ac:dyDescent="0.35">
      <c r="A365" s="39">
        <v>27</v>
      </c>
      <c r="B365" s="40">
        <v>5.22</v>
      </c>
      <c r="C365" s="41">
        <v>28.76</v>
      </c>
      <c r="D365" s="42" t="s">
        <v>10</v>
      </c>
      <c r="G365" s="47">
        <f t="shared" si="8"/>
        <v>7156.71</v>
      </c>
      <c r="H365" t="b">
        <f>Table_15[[#This Row],[Temps d''achat]]&gt;9.3</f>
        <v>0</v>
      </c>
      <c r="I365" t="b">
        <f>Table_15[[#This Row],[Temps d''achat]]&lt;4</f>
        <v>0</v>
      </c>
    </row>
    <row r="366" spans="1:9" x14ac:dyDescent="0.35">
      <c r="A366" s="43">
        <v>14</v>
      </c>
      <c r="B366" s="44">
        <v>8.6</v>
      </c>
      <c r="C366" s="45">
        <v>84.49</v>
      </c>
      <c r="D366" s="46" t="s">
        <v>10</v>
      </c>
      <c r="G366" s="47">
        <f t="shared" si="9"/>
        <v>7209.64</v>
      </c>
      <c r="H366" t="b">
        <f>Table_15[[#This Row],[Temps d''achat]]&gt;9.3</f>
        <v>0</v>
      </c>
      <c r="I366" t="b">
        <f>Table_15[[#This Row],[Temps d''achat]]&lt;4</f>
        <v>0</v>
      </c>
    </row>
    <row r="367" spans="1:9" x14ac:dyDescent="0.35">
      <c r="A367" s="39">
        <v>8</v>
      </c>
      <c r="B367" s="40">
        <v>4.22</v>
      </c>
      <c r="C367" s="41">
        <v>52.93</v>
      </c>
      <c r="D367" s="42" t="s">
        <v>10</v>
      </c>
      <c r="G367" s="47">
        <f t="shared" si="8"/>
        <v>7297.06</v>
      </c>
      <c r="H367" t="b">
        <f>Table_15[[#This Row],[Temps d''achat]]&gt;9.3</f>
        <v>0</v>
      </c>
      <c r="I367" t="b">
        <f>Table_15[[#This Row],[Temps d''achat]]&lt;4</f>
        <v>0</v>
      </c>
    </row>
    <row r="368" spans="1:9" x14ac:dyDescent="0.35">
      <c r="A368" s="43">
        <v>10</v>
      </c>
      <c r="B368" s="44">
        <v>6.95</v>
      </c>
      <c r="C368" s="45">
        <v>87.42</v>
      </c>
      <c r="D368" s="46" t="s">
        <v>10</v>
      </c>
      <c r="G368" s="47">
        <f t="shared" si="9"/>
        <v>7349.0300000000007</v>
      </c>
      <c r="H368" t="b">
        <f>Table_15[[#This Row],[Temps d''achat]]&gt;9.3</f>
        <v>0</v>
      </c>
      <c r="I368" t="b">
        <f>Table_15[[#This Row],[Temps d''achat]]&lt;4</f>
        <v>0</v>
      </c>
    </row>
    <row r="369" spans="1:9" x14ac:dyDescent="0.35">
      <c r="A369" s="39">
        <v>26</v>
      </c>
      <c r="B369" s="40">
        <v>6.82</v>
      </c>
      <c r="C369" s="41">
        <v>51.97</v>
      </c>
      <c r="D369" s="42" t="s">
        <v>10</v>
      </c>
      <c r="G369" s="47">
        <f t="shared" si="8"/>
        <v>7416.6900000000005</v>
      </c>
      <c r="H369" t="b">
        <f>Table_15[[#This Row],[Temps d''achat]]&gt;9.3</f>
        <v>0</v>
      </c>
      <c r="I369" t="b">
        <f>Table_15[[#This Row],[Temps d''achat]]&lt;4</f>
        <v>0</v>
      </c>
    </row>
    <row r="370" spans="1:9" x14ac:dyDescent="0.35">
      <c r="A370" s="43">
        <v>1</v>
      </c>
      <c r="B370" s="44">
        <v>9.06</v>
      </c>
      <c r="C370" s="45">
        <v>67.66</v>
      </c>
      <c r="D370" s="46" t="s">
        <v>10</v>
      </c>
      <c r="G370" s="47">
        <f t="shared" si="9"/>
        <v>7464.43</v>
      </c>
      <c r="H370" t="b">
        <f>Table_15[[#This Row],[Temps d''achat]]&gt;9.3</f>
        <v>0</v>
      </c>
      <c r="I370" t="b">
        <f>Table_15[[#This Row],[Temps d''achat]]&lt;4</f>
        <v>0</v>
      </c>
    </row>
    <row r="371" spans="1:9" x14ac:dyDescent="0.35">
      <c r="A371" s="39">
        <v>9</v>
      </c>
      <c r="B371" s="40">
        <v>6.7</v>
      </c>
      <c r="C371" s="41">
        <v>47.74</v>
      </c>
      <c r="D371" s="42" t="s">
        <v>10</v>
      </c>
      <c r="G371" s="47">
        <f t="shared" si="8"/>
        <v>7534.43</v>
      </c>
      <c r="H371" t="b">
        <f>Table_15[[#This Row],[Temps d''achat]]&gt;9.3</f>
        <v>0</v>
      </c>
      <c r="I371" t="b">
        <f>Table_15[[#This Row],[Temps d''achat]]&lt;4</f>
        <v>0</v>
      </c>
    </row>
    <row r="372" spans="1:9" x14ac:dyDescent="0.35">
      <c r="A372" s="43">
        <v>18</v>
      </c>
      <c r="B372" s="44">
        <v>4.0199999999999996</v>
      </c>
      <c r="C372" s="45">
        <v>70</v>
      </c>
      <c r="D372" s="46" t="s">
        <v>10</v>
      </c>
      <c r="G372" s="47">
        <f t="shared" si="9"/>
        <v>7607.4500000000007</v>
      </c>
      <c r="H372" t="b">
        <f>Table_15[[#This Row],[Temps d''achat]]&gt;9.3</f>
        <v>0</v>
      </c>
      <c r="I372" t="b">
        <f>Table_15[[#This Row],[Temps d''achat]]&lt;4</f>
        <v>0</v>
      </c>
    </row>
    <row r="373" spans="1:9" x14ac:dyDescent="0.35">
      <c r="A373" s="39">
        <v>15</v>
      </c>
      <c r="B373" s="40">
        <v>9.5299999999999994</v>
      </c>
      <c r="C373" s="52">
        <v>73.02</v>
      </c>
      <c r="D373" s="42" t="s">
        <v>10</v>
      </c>
      <c r="G373" s="47">
        <f t="shared" si="8"/>
        <v>7670.9700000000012</v>
      </c>
      <c r="H373" t="b">
        <f>Table_15[[#This Row],[Temps d''achat]]&gt;9.3</f>
        <v>1</v>
      </c>
      <c r="I373" t="b">
        <f>Table_15[[#This Row],[Temps d''achat]]&lt;4</f>
        <v>0</v>
      </c>
    </row>
    <row r="374" spans="1:9" x14ac:dyDescent="0.35">
      <c r="A374" s="43">
        <v>16</v>
      </c>
      <c r="B374" s="44">
        <v>6.49</v>
      </c>
      <c r="C374" s="45">
        <v>63.52</v>
      </c>
      <c r="D374" s="46" t="s">
        <v>10</v>
      </c>
      <c r="G374" s="47">
        <f t="shared" si="9"/>
        <v>7737.130000000001</v>
      </c>
      <c r="H374" t="b">
        <f>Table_15[[#This Row],[Temps d''achat]]&gt;9.3</f>
        <v>0</v>
      </c>
      <c r="I374" t="b">
        <f>Table_15[[#This Row],[Temps d''achat]]&lt;4</f>
        <v>0</v>
      </c>
    </row>
    <row r="375" spans="1:9" x14ac:dyDescent="0.35">
      <c r="A375" s="39">
        <v>43</v>
      </c>
      <c r="B375" s="40">
        <v>8.85</v>
      </c>
      <c r="C375" s="41">
        <v>66.16</v>
      </c>
      <c r="D375" s="42" t="s">
        <v>10</v>
      </c>
      <c r="G375" s="47">
        <f t="shared" si="8"/>
        <v>7796.4400000000014</v>
      </c>
      <c r="H375" t="b">
        <f>Table_15[[#This Row],[Temps d''achat]]&gt;9.3</f>
        <v>0</v>
      </c>
      <c r="I375" t="b">
        <f>Table_15[[#This Row],[Temps d''achat]]&lt;4</f>
        <v>0</v>
      </c>
    </row>
    <row r="376" spans="1:9" x14ac:dyDescent="0.35">
      <c r="A376" s="43">
        <v>29</v>
      </c>
      <c r="B376" s="44">
        <v>6.27</v>
      </c>
      <c r="C376" s="45">
        <v>59.31</v>
      </c>
      <c r="D376" s="46" t="s">
        <v>10</v>
      </c>
      <c r="G376" s="47">
        <f t="shared" si="9"/>
        <v>7828.0100000000011</v>
      </c>
      <c r="H376" t="b">
        <f>Table_15[[#This Row],[Temps d''achat]]&gt;9.3</f>
        <v>0</v>
      </c>
      <c r="I376" t="b">
        <f>Table_15[[#This Row],[Temps d''achat]]&lt;4</f>
        <v>0</v>
      </c>
    </row>
    <row r="377" spans="1:9" x14ac:dyDescent="0.35">
      <c r="A377" s="39">
        <v>50</v>
      </c>
      <c r="B377" s="40">
        <v>6.18</v>
      </c>
      <c r="C377" s="41">
        <v>31.57</v>
      </c>
      <c r="D377" s="42" t="s">
        <v>10</v>
      </c>
      <c r="G377" s="47">
        <f t="shared" si="8"/>
        <v>7890.4700000000012</v>
      </c>
      <c r="H377" t="b">
        <f>Table_15[[#This Row],[Temps d''achat]]&gt;9.3</f>
        <v>0</v>
      </c>
      <c r="I377" t="b">
        <f>Table_15[[#This Row],[Temps d''achat]]&lt;4</f>
        <v>0</v>
      </c>
    </row>
    <row r="378" spans="1:9" x14ac:dyDescent="0.35">
      <c r="A378" s="43">
        <v>32</v>
      </c>
      <c r="B378" s="44">
        <v>8</v>
      </c>
      <c r="C378" s="45">
        <v>62.46</v>
      </c>
      <c r="D378" s="46" t="s">
        <v>10</v>
      </c>
      <c r="G378" s="47">
        <f t="shared" si="9"/>
        <v>7951.6600000000008</v>
      </c>
      <c r="H378" t="b">
        <f>Table_15[[#This Row],[Temps d''achat]]&gt;9.3</f>
        <v>0</v>
      </c>
      <c r="I378" t="b">
        <f>Table_15[[#This Row],[Temps d''achat]]&lt;4</f>
        <v>0</v>
      </c>
    </row>
    <row r="379" spans="1:9" x14ac:dyDescent="0.35">
      <c r="A379" s="39">
        <v>12</v>
      </c>
      <c r="B379" s="40">
        <v>6.96</v>
      </c>
      <c r="C379" s="41">
        <v>61.19</v>
      </c>
      <c r="D379" s="42" t="s">
        <v>10</v>
      </c>
      <c r="G379" s="47">
        <f t="shared" si="8"/>
        <v>8018.7800000000007</v>
      </c>
      <c r="H379" t="b">
        <f>Table_15[[#This Row],[Temps d''achat]]&gt;9.3</f>
        <v>0</v>
      </c>
      <c r="I379" t="b">
        <f>Table_15[[#This Row],[Temps d''achat]]&lt;4</f>
        <v>0</v>
      </c>
    </row>
    <row r="380" spans="1:9" x14ac:dyDescent="0.35">
      <c r="A380" s="43">
        <v>35</v>
      </c>
      <c r="B380" s="44">
        <v>9.56</v>
      </c>
      <c r="C380" s="53">
        <v>67.12</v>
      </c>
      <c r="D380" s="46" t="s">
        <v>10</v>
      </c>
      <c r="G380" s="47">
        <f t="shared" si="9"/>
        <v>8073.2900000000009</v>
      </c>
      <c r="H380" t="b">
        <f>Table_15[[#This Row],[Temps d''achat]]&gt;9.3</f>
        <v>1</v>
      </c>
      <c r="I380" t="b">
        <f>Table_15[[#This Row],[Temps d''achat]]&lt;4</f>
        <v>0</v>
      </c>
    </row>
    <row r="381" spans="1:9" x14ac:dyDescent="0.35">
      <c r="A381" s="39">
        <v>45</v>
      </c>
      <c r="B381" s="40">
        <v>6.06</v>
      </c>
      <c r="C381" s="41">
        <v>54.51</v>
      </c>
      <c r="D381" s="42" t="s">
        <v>10</v>
      </c>
      <c r="G381" s="47">
        <f t="shared" ref="G381:G429" si="10">G380+C382</f>
        <v>8134.3100000000013</v>
      </c>
      <c r="H381" t="b">
        <f>Table_15[[#This Row],[Temps d''achat]]&gt;9.3</f>
        <v>0</v>
      </c>
      <c r="I381" t="b">
        <f>Table_15[[#This Row],[Temps d''achat]]&lt;4</f>
        <v>0</v>
      </c>
    </row>
    <row r="382" spans="1:9" x14ac:dyDescent="0.35">
      <c r="A382" s="43">
        <v>17</v>
      </c>
      <c r="B382" s="44">
        <v>7.7</v>
      </c>
      <c r="C382" s="45">
        <v>61.02</v>
      </c>
      <c r="D382" s="46" t="s">
        <v>10</v>
      </c>
      <c r="G382" s="47">
        <f t="shared" ref="G382:G430" si="11">C383+G381</f>
        <v>8208.0000000000018</v>
      </c>
      <c r="H382" t="b">
        <f>Table_15[[#This Row],[Temps d''achat]]&gt;9.3</f>
        <v>0</v>
      </c>
      <c r="I382" t="b">
        <f>Table_15[[#This Row],[Temps d''achat]]&lt;4</f>
        <v>0</v>
      </c>
    </row>
    <row r="383" spans="1:9" x14ac:dyDescent="0.35">
      <c r="A383" s="39">
        <v>27</v>
      </c>
      <c r="B383" s="40">
        <v>5.05</v>
      </c>
      <c r="C383" s="41">
        <v>73.69</v>
      </c>
      <c r="D383" s="42" t="s">
        <v>10</v>
      </c>
      <c r="G383" s="47">
        <f t="shared" si="10"/>
        <v>8283.7500000000018</v>
      </c>
      <c r="H383" t="b">
        <f>Table_15[[#This Row],[Temps d''achat]]&gt;9.3</f>
        <v>0</v>
      </c>
      <c r="I383" t="b">
        <f>Table_15[[#This Row],[Temps d''achat]]&lt;4</f>
        <v>0</v>
      </c>
    </row>
    <row r="384" spans="1:9" x14ac:dyDescent="0.35">
      <c r="A384" s="43">
        <v>32</v>
      </c>
      <c r="B384" s="44">
        <v>7.38</v>
      </c>
      <c r="C384" s="45">
        <v>75.75</v>
      </c>
      <c r="D384" s="46" t="s">
        <v>10</v>
      </c>
      <c r="G384" s="47">
        <f t="shared" si="11"/>
        <v>8320.260000000002</v>
      </c>
      <c r="H384" t="b">
        <f>Table_15[[#This Row],[Temps d''achat]]&gt;9.3</f>
        <v>0</v>
      </c>
      <c r="I384" t="b">
        <f>Table_15[[#This Row],[Temps d''achat]]&lt;4</f>
        <v>0</v>
      </c>
    </row>
    <row r="385" spans="1:9" x14ac:dyDescent="0.35">
      <c r="A385" s="39">
        <v>48</v>
      </c>
      <c r="B385" s="40">
        <v>6.23</v>
      </c>
      <c r="C385" s="41">
        <v>36.51</v>
      </c>
      <c r="D385" s="42" t="s">
        <v>10</v>
      </c>
      <c r="G385" s="47">
        <f t="shared" si="10"/>
        <v>8368.6600000000017</v>
      </c>
      <c r="H385" t="b">
        <f>Table_15[[#This Row],[Temps d''achat]]&gt;9.3</f>
        <v>0</v>
      </c>
      <c r="I385" t="b">
        <f>Table_15[[#This Row],[Temps d''achat]]&lt;4</f>
        <v>0</v>
      </c>
    </row>
    <row r="386" spans="1:9" x14ac:dyDescent="0.35">
      <c r="A386" s="43">
        <v>32</v>
      </c>
      <c r="B386" s="44">
        <v>7.19</v>
      </c>
      <c r="C386" s="45">
        <v>48.4</v>
      </c>
      <c r="D386" s="46" t="s">
        <v>10</v>
      </c>
      <c r="G386" s="47">
        <f t="shared" si="11"/>
        <v>8459.0800000000017</v>
      </c>
      <c r="H386" t="b">
        <f>Table_15[[#This Row],[Temps d''achat]]&gt;9.3</f>
        <v>0</v>
      </c>
      <c r="I386" t="b">
        <f>Table_15[[#This Row],[Temps d''achat]]&lt;4</f>
        <v>0</v>
      </c>
    </row>
    <row r="387" spans="1:9" x14ac:dyDescent="0.35">
      <c r="A387" s="39">
        <v>16</v>
      </c>
      <c r="B387" s="40">
        <v>9.3800000000000008</v>
      </c>
      <c r="C387" s="52">
        <v>90.42</v>
      </c>
      <c r="D387" s="42" t="s">
        <v>10</v>
      </c>
      <c r="G387" s="47">
        <f t="shared" si="10"/>
        <v>8515.0200000000023</v>
      </c>
      <c r="H387" t="b">
        <f>Table_15[[#This Row],[Temps d''achat]]&gt;9.3</f>
        <v>1</v>
      </c>
      <c r="I387" t="b">
        <f>Table_15[[#This Row],[Temps d''achat]]&lt;4</f>
        <v>0</v>
      </c>
    </row>
    <row r="388" spans="1:9" x14ac:dyDescent="0.35">
      <c r="A388" s="43">
        <v>39</v>
      </c>
      <c r="B388" s="44">
        <v>7.98</v>
      </c>
      <c r="C388" s="45">
        <v>55.94</v>
      </c>
      <c r="D388" s="46" t="s">
        <v>10</v>
      </c>
      <c r="G388" s="47">
        <f t="shared" si="11"/>
        <v>8570.4400000000023</v>
      </c>
      <c r="H388" t="b">
        <f>Table_15[[#This Row],[Temps d''achat]]&gt;9.3</f>
        <v>0</v>
      </c>
      <c r="I388" t="b">
        <f>Table_15[[#This Row],[Temps d''achat]]&lt;4</f>
        <v>0</v>
      </c>
    </row>
    <row r="389" spans="1:9" x14ac:dyDescent="0.35">
      <c r="A389" s="39">
        <v>16</v>
      </c>
      <c r="B389" s="40">
        <v>6.66</v>
      </c>
      <c r="C389" s="41">
        <v>55.42</v>
      </c>
      <c r="D389" s="42" t="s">
        <v>10</v>
      </c>
      <c r="G389" s="47">
        <f t="shared" si="10"/>
        <v>8618.4200000000019</v>
      </c>
      <c r="H389" t="b">
        <f>Table_15[[#This Row],[Temps d''achat]]&gt;9.3</f>
        <v>0</v>
      </c>
      <c r="I389" t="b">
        <f>Table_15[[#This Row],[Temps d''achat]]&lt;4</f>
        <v>0</v>
      </c>
    </row>
    <row r="390" spans="1:9" x14ac:dyDescent="0.35">
      <c r="A390" s="43">
        <v>10</v>
      </c>
      <c r="B390" s="44">
        <v>6.96</v>
      </c>
      <c r="C390" s="45">
        <v>47.98</v>
      </c>
      <c r="D390" s="46" t="s">
        <v>10</v>
      </c>
      <c r="G390" s="47">
        <f t="shared" si="11"/>
        <v>8711.2500000000018</v>
      </c>
      <c r="H390" t="b">
        <f>Table_15[[#This Row],[Temps d''achat]]&gt;9.3</f>
        <v>0</v>
      </c>
      <c r="I390" t="b">
        <f>Table_15[[#This Row],[Temps d''achat]]&lt;4</f>
        <v>0</v>
      </c>
    </row>
    <row r="391" spans="1:9" x14ac:dyDescent="0.35">
      <c r="A391" s="39">
        <v>24</v>
      </c>
      <c r="B391" s="40">
        <v>7.07</v>
      </c>
      <c r="C391" s="41">
        <v>92.83</v>
      </c>
      <c r="D391" s="42" t="s">
        <v>10</v>
      </c>
      <c r="G391" s="47">
        <f t="shared" si="10"/>
        <v>8800.4300000000021</v>
      </c>
      <c r="H391" t="b">
        <f>Table_15[[#This Row],[Temps d''achat]]&gt;9.3</f>
        <v>0</v>
      </c>
      <c r="I391" t="b">
        <f>Table_15[[#This Row],[Temps d''achat]]&lt;4</f>
        <v>0</v>
      </c>
    </row>
    <row r="392" spans="1:9" x14ac:dyDescent="0.35">
      <c r="A392" s="43">
        <v>64</v>
      </c>
      <c r="B392" s="44">
        <v>8.08</v>
      </c>
      <c r="C392" s="45">
        <v>89.18</v>
      </c>
      <c r="D392" s="46" t="s">
        <v>10</v>
      </c>
      <c r="G392" s="47">
        <f t="shared" si="11"/>
        <v>8835.4600000000028</v>
      </c>
      <c r="H392" t="b">
        <f>Table_15[[#This Row],[Temps d''achat]]&gt;9.3</f>
        <v>0</v>
      </c>
      <c r="I392" t="b">
        <f>Table_15[[#This Row],[Temps d''achat]]&lt;4</f>
        <v>0</v>
      </c>
    </row>
    <row r="393" spans="1:9" x14ac:dyDescent="0.35">
      <c r="A393" s="39">
        <v>34</v>
      </c>
      <c r="B393" s="40">
        <v>6.25</v>
      </c>
      <c r="C393" s="41">
        <v>35.03</v>
      </c>
      <c r="D393" s="42" t="s">
        <v>10</v>
      </c>
      <c r="G393" s="47">
        <f t="shared" si="10"/>
        <v>8872.1800000000021</v>
      </c>
      <c r="H393" t="b">
        <f>Table_15[[#This Row],[Temps d''achat]]&gt;9.3</f>
        <v>0</v>
      </c>
      <c r="I393" t="b">
        <f>Table_15[[#This Row],[Temps d''achat]]&lt;4</f>
        <v>0</v>
      </c>
    </row>
    <row r="394" spans="1:9" x14ac:dyDescent="0.35">
      <c r="A394" s="43">
        <v>37</v>
      </c>
      <c r="B394" s="44">
        <v>5.15</v>
      </c>
      <c r="C394" s="45">
        <v>36.72</v>
      </c>
      <c r="D394" s="46" t="s">
        <v>10</v>
      </c>
      <c r="G394" s="47">
        <f t="shared" si="11"/>
        <v>8910.010000000002</v>
      </c>
      <c r="H394" t="b">
        <f>Table_15[[#This Row],[Temps d''achat]]&gt;9.3</f>
        <v>0</v>
      </c>
      <c r="I394" t="b">
        <f>Table_15[[#This Row],[Temps d''achat]]&lt;4</f>
        <v>0</v>
      </c>
    </row>
    <row r="395" spans="1:9" x14ac:dyDescent="0.35">
      <c r="A395" s="39">
        <v>25</v>
      </c>
      <c r="B395" s="40">
        <v>8.5500000000000007</v>
      </c>
      <c r="C395" s="41">
        <v>37.83</v>
      </c>
      <c r="D395" s="42" t="s">
        <v>10</v>
      </c>
      <c r="G395" s="47">
        <f t="shared" si="10"/>
        <v>8963.5800000000017</v>
      </c>
      <c r="H395" t="b">
        <f>Table_15[[#This Row],[Temps d''achat]]&gt;9.3</f>
        <v>0</v>
      </c>
      <c r="I395" t="b">
        <f>Table_15[[#This Row],[Temps d''achat]]&lt;4</f>
        <v>0</v>
      </c>
    </row>
    <row r="396" spans="1:9" x14ac:dyDescent="0.35">
      <c r="A396" s="43">
        <v>18</v>
      </c>
      <c r="B396" s="44">
        <v>7.31</v>
      </c>
      <c r="C396" s="45">
        <v>53.57</v>
      </c>
      <c r="D396" s="46" t="s">
        <v>10</v>
      </c>
      <c r="G396" s="47">
        <f t="shared" si="11"/>
        <v>8972.2700000000023</v>
      </c>
      <c r="H396" t="b">
        <f>Table_15[[#This Row],[Temps d''achat]]&gt;9.3</f>
        <v>0</v>
      </c>
      <c r="I396" t="b">
        <f>Table_15[[#This Row],[Temps d''achat]]&lt;4</f>
        <v>0</v>
      </c>
    </row>
    <row r="397" spans="1:9" x14ac:dyDescent="0.35">
      <c r="A397" s="39">
        <v>34</v>
      </c>
      <c r="B397" s="40">
        <v>8.41</v>
      </c>
      <c r="C397" s="41">
        <v>8.69</v>
      </c>
      <c r="D397" s="42" t="s">
        <v>10</v>
      </c>
      <c r="G397" s="47">
        <f t="shared" si="10"/>
        <v>8992.5800000000017</v>
      </c>
      <c r="H397" t="b">
        <f>Table_15[[#This Row],[Temps d''achat]]&gt;9.3</f>
        <v>0</v>
      </c>
      <c r="I397" t="b">
        <f>Table_15[[#This Row],[Temps d''achat]]&lt;4</f>
        <v>0</v>
      </c>
    </row>
    <row r="398" spans="1:9" x14ac:dyDescent="0.35">
      <c r="A398" s="43">
        <v>10</v>
      </c>
      <c r="B398" s="44">
        <v>5.65</v>
      </c>
      <c r="C398" s="45">
        <v>20.309999999999999</v>
      </c>
      <c r="D398" s="46" t="s">
        <v>10</v>
      </c>
      <c r="G398" s="47">
        <f t="shared" si="11"/>
        <v>9085.4700000000012</v>
      </c>
      <c r="H398" t="b">
        <f>Table_15[[#This Row],[Temps d''achat]]&gt;9.3</f>
        <v>0</v>
      </c>
      <c r="I398" t="b">
        <f>Table_15[[#This Row],[Temps d''achat]]&lt;4</f>
        <v>0</v>
      </c>
    </row>
    <row r="399" spans="1:9" x14ac:dyDescent="0.35">
      <c r="A399" s="39">
        <v>46</v>
      </c>
      <c r="B399" s="40">
        <v>9.6199999999999992</v>
      </c>
      <c r="C399" s="52">
        <v>92.89</v>
      </c>
      <c r="D399" s="42" t="s">
        <v>10</v>
      </c>
      <c r="G399" s="47">
        <f t="shared" si="10"/>
        <v>9185.5400000000009</v>
      </c>
      <c r="H399" t="b">
        <f>Table_15[[#This Row],[Temps d''achat]]&gt;9.3</f>
        <v>1</v>
      </c>
      <c r="I399" t="b">
        <f>Table_15[[#This Row],[Temps d''achat]]&lt;4</f>
        <v>0</v>
      </c>
    </row>
    <row r="400" spans="1:9" x14ac:dyDescent="0.35">
      <c r="A400" s="43">
        <v>25</v>
      </c>
      <c r="B400" s="44">
        <v>5.94</v>
      </c>
      <c r="C400" s="45">
        <v>100.07</v>
      </c>
      <c r="D400" s="46" t="s">
        <v>10</v>
      </c>
      <c r="G400" s="47">
        <f t="shared" si="11"/>
        <v>9218.7200000000012</v>
      </c>
      <c r="H400" t="b">
        <f>Table_15[[#This Row],[Temps d''achat]]&gt;9.3</f>
        <v>0</v>
      </c>
      <c r="I400" t="b">
        <f>Table_15[[#This Row],[Temps d''achat]]&lt;4</f>
        <v>0</v>
      </c>
    </row>
    <row r="401" spans="1:9" x14ac:dyDescent="0.35">
      <c r="A401" s="39">
        <v>19</v>
      </c>
      <c r="B401" s="40">
        <v>6.22</v>
      </c>
      <c r="C401" s="41">
        <v>33.18</v>
      </c>
      <c r="D401" s="42" t="s">
        <v>10</v>
      </c>
      <c r="G401" s="47">
        <f t="shared" si="10"/>
        <v>9275.9000000000015</v>
      </c>
      <c r="H401" t="b">
        <f>Table_15[[#This Row],[Temps d''achat]]&gt;9.3</f>
        <v>0</v>
      </c>
      <c r="I401" t="b">
        <f>Table_15[[#This Row],[Temps d''achat]]&lt;4</f>
        <v>0</v>
      </c>
    </row>
    <row r="402" spans="1:9" x14ac:dyDescent="0.35">
      <c r="A402" s="43">
        <v>7</v>
      </c>
      <c r="B402" s="44">
        <v>6.99</v>
      </c>
      <c r="C402" s="45">
        <v>57.18</v>
      </c>
      <c r="D402" s="46" t="s">
        <v>10</v>
      </c>
      <c r="G402" s="47">
        <f t="shared" si="11"/>
        <v>9343.1500000000015</v>
      </c>
      <c r="H402" t="b">
        <f>Table_15[[#This Row],[Temps d''achat]]&gt;9.3</f>
        <v>0</v>
      </c>
      <c r="I402" t="b">
        <f>Table_15[[#This Row],[Temps d''achat]]&lt;4</f>
        <v>0</v>
      </c>
    </row>
    <row r="403" spans="1:9" x14ac:dyDescent="0.35">
      <c r="A403" s="39">
        <v>17</v>
      </c>
      <c r="B403" s="40">
        <v>6.05</v>
      </c>
      <c r="C403" s="41">
        <v>67.25</v>
      </c>
      <c r="D403" s="42" t="s">
        <v>10</v>
      </c>
      <c r="G403" s="47">
        <f t="shared" si="10"/>
        <v>9395.2500000000018</v>
      </c>
      <c r="H403" t="b">
        <f>Table_15[[#This Row],[Temps d''achat]]&gt;9.3</f>
        <v>0</v>
      </c>
      <c r="I403" t="b">
        <f>Table_15[[#This Row],[Temps d''achat]]&lt;4</f>
        <v>0</v>
      </c>
    </row>
    <row r="404" spans="1:9" x14ac:dyDescent="0.35">
      <c r="A404" s="43">
        <v>26</v>
      </c>
      <c r="B404" s="44">
        <v>5.31</v>
      </c>
      <c r="C404" s="45">
        <v>52.1</v>
      </c>
      <c r="D404" s="46" t="s">
        <v>10</v>
      </c>
      <c r="G404" s="47">
        <f t="shared" si="11"/>
        <v>9466.3200000000015</v>
      </c>
      <c r="H404" t="b">
        <f>Table_15[[#This Row],[Temps d''achat]]&gt;9.3</f>
        <v>0</v>
      </c>
      <c r="I404" t="b">
        <f>Table_15[[#This Row],[Temps d''achat]]&lt;4</f>
        <v>0</v>
      </c>
    </row>
    <row r="405" spans="1:9" x14ac:dyDescent="0.35">
      <c r="A405" s="39">
        <v>49</v>
      </c>
      <c r="B405" s="40">
        <v>5.61</v>
      </c>
      <c r="C405" s="41">
        <v>71.069999999999993</v>
      </c>
      <c r="D405" s="42" t="s">
        <v>10</v>
      </c>
      <c r="G405" s="47">
        <f t="shared" si="10"/>
        <v>9542.590000000002</v>
      </c>
      <c r="H405" t="b">
        <f>Table_15[[#This Row],[Temps d''achat]]&gt;9.3</f>
        <v>0</v>
      </c>
      <c r="I405" t="b">
        <f>Table_15[[#This Row],[Temps d''achat]]&lt;4</f>
        <v>0</v>
      </c>
    </row>
    <row r="406" spans="1:9" x14ac:dyDescent="0.35">
      <c r="A406" s="43">
        <v>24</v>
      </c>
      <c r="B406" s="44">
        <v>8.83</v>
      </c>
      <c r="C406" s="45">
        <v>76.27</v>
      </c>
      <c r="D406" s="46" t="s">
        <v>10</v>
      </c>
      <c r="G406" s="47">
        <f t="shared" si="11"/>
        <v>9588.4700000000012</v>
      </c>
      <c r="H406" t="b">
        <f>Table_15[[#This Row],[Temps d''achat]]&gt;9.3</f>
        <v>0</v>
      </c>
      <c r="I406" t="b">
        <f>Table_15[[#This Row],[Temps d''achat]]&lt;4</f>
        <v>0</v>
      </c>
    </row>
    <row r="407" spans="1:9" x14ac:dyDescent="0.35">
      <c r="A407" s="39">
        <v>25</v>
      </c>
      <c r="B407" s="40">
        <v>4.57</v>
      </c>
      <c r="C407" s="41">
        <v>45.88</v>
      </c>
      <c r="D407" s="42" t="s">
        <v>10</v>
      </c>
      <c r="G407" s="47">
        <f t="shared" si="10"/>
        <v>9668.6</v>
      </c>
      <c r="H407" t="b">
        <f>Table_15[[#This Row],[Temps d''achat]]&gt;9.3</f>
        <v>0</v>
      </c>
      <c r="I407" t="b">
        <f>Table_15[[#This Row],[Temps d''achat]]&lt;4</f>
        <v>0</v>
      </c>
    </row>
    <row r="408" spans="1:9" x14ac:dyDescent="0.35">
      <c r="A408" s="43">
        <v>17</v>
      </c>
      <c r="B408" s="44">
        <v>5.99</v>
      </c>
      <c r="C408" s="45">
        <v>80.13</v>
      </c>
      <c r="D408" s="46" t="s">
        <v>10</v>
      </c>
      <c r="G408" s="47">
        <f t="shared" si="11"/>
        <v>9726.61</v>
      </c>
      <c r="H408" t="b">
        <f>Table_15[[#This Row],[Temps d''achat]]&gt;9.3</f>
        <v>0</v>
      </c>
      <c r="I408" t="b">
        <f>Table_15[[#This Row],[Temps d''achat]]&lt;4</f>
        <v>0</v>
      </c>
    </row>
    <row r="409" spans="1:9" x14ac:dyDescent="0.35">
      <c r="A409" s="39">
        <v>42</v>
      </c>
      <c r="B409" s="40">
        <v>7.67</v>
      </c>
      <c r="C409" s="41">
        <v>58.01</v>
      </c>
      <c r="D409" s="42" t="s">
        <v>10</v>
      </c>
      <c r="G409" s="47">
        <f t="shared" si="10"/>
        <v>9777.26</v>
      </c>
      <c r="H409" t="b">
        <f>Table_15[[#This Row],[Temps d''achat]]&gt;9.3</f>
        <v>0</v>
      </c>
      <c r="I409" t="b">
        <f>Table_15[[#This Row],[Temps d''achat]]&lt;4</f>
        <v>0</v>
      </c>
    </row>
    <row r="410" spans="1:9" x14ac:dyDescent="0.35">
      <c r="A410" s="43">
        <v>29</v>
      </c>
      <c r="B410" s="44">
        <v>8.2899999999999991</v>
      </c>
      <c r="C410" s="45">
        <v>50.65</v>
      </c>
      <c r="D410" s="46" t="s">
        <v>10</v>
      </c>
      <c r="G410" s="47">
        <f t="shared" si="11"/>
        <v>9859.94</v>
      </c>
      <c r="H410" t="b">
        <f>Table_15[[#This Row],[Temps d''achat]]&gt;9.3</f>
        <v>0</v>
      </c>
      <c r="I410" t="b">
        <f>Table_15[[#This Row],[Temps d''achat]]&lt;4</f>
        <v>0</v>
      </c>
    </row>
    <row r="411" spans="1:9" x14ac:dyDescent="0.35">
      <c r="A411" s="39">
        <v>9</v>
      </c>
      <c r="B411" s="40">
        <v>9.23</v>
      </c>
      <c r="C411" s="41">
        <v>82.68</v>
      </c>
      <c r="D411" s="42" t="s">
        <v>10</v>
      </c>
      <c r="G411" s="47">
        <f t="shared" si="10"/>
        <v>9916.74</v>
      </c>
      <c r="H411" t="b">
        <f>Table_15[[#This Row],[Temps d''achat]]&gt;9.3</f>
        <v>0</v>
      </c>
      <c r="I411" t="b">
        <f>Table_15[[#This Row],[Temps d''achat]]&lt;4</f>
        <v>0</v>
      </c>
    </row>
    <row r="412" spans="1:9" x14ac:dyDescent="0.35">
      <c r="A412" s="43">
        <v>36</v>
      </c>
      <c r="B412" s="44">
        <v>5.98</v>
      </c>
      <c r="C412" s="45">
        <v>56.8</v>
      </c>
      <c r="D412" s="46" t="s">
        <v>10</v>
      </c>
      <c r="G412" s="47">
        <f t="shared" si="11"/>
        <v>9960.06</v>
      </c>
      <c r="H412" t="b">
        <f>Table_15[[#This Row],[Temps d''achat]]&gt;9.3</f>
        <v>0</v>
      </c>
      <c r="I412" t="b">
        <f>Table_15[[#This Row],[Temps d''achat]]&lt;4</f>
        <v>0</v>
      </c>
    </row>
    <row r="413" spans="1:9" x14ac:dyDescent="0.35">
      <c r="A413" s="39">
        <v>15</v>
      </c>
      <c r="B413" s="40">
        <v>5.35</v>
      </c>
      <c r="C413" s="41">
        <v>43.32</v>
      </c>
      <c r="D413" s="42" t="s">
        <v>10</v>
      </c>
      <c r="G413" s="47">
        <f t="shared" si="10"/>
        <v>10028.439999999999</v>
      </c>
      <c r="H413" t="b">
        <f>Table_15[[#This Row],[Temps d''achat]]&gt;9.3</f>
        <v>0</v>
      </c>
      <c r="I413" t="b">
        <f>Table_15[[#This Row],[Temps d''achat]]&lt;4</f>
        <v>0</v>
      </c>
    </row>
    <row r="414" spans="1:9" x14ac:dyDescent="0.35">
      <c r="A414" s="43">
        <v>24</v>
      </c>
      <c r="B414" s="44">
        <v>9.02</v>
      </c>
      <c r="C414" s="45">
        <v>68.38</v>
      </c>
      <c r="D414" s="46" t="s">
        <v>10</v>
      </c>
      <c r="G414" s="47">
        <f t="shared" si="11"/>
        <v>10061.89</v>
      </c>
      <c r="H414" t="b">
        <f>Table_15[[#This Row],[Temps d''achat]]&gt;9.3</f>
        <v>0</v>
      </c>
      <c r="I414" t="b">
        <f>Table_15[[#This Row],[Temps d''achat]]&lt;4</f>
        <v>0</v>
      </c>
    </row>
    <row r="415" spans="1:9" x14ac:dyDescent="0.35">
      <c r="A415" s="39">
        <v>28</v>
      </c>
      <c r="B415" s="40">
        <v>7.27</v>
      </c>
      <c r="C415" s="41">
        <v>33.450000000000003</v>
      </c>
      <c r="D415" s="42" t="s">
        <v>10</v>
      </c>
      <c r="G415" s="47">
        <f t="shared" si="10"/>
        <v>10140.719999999999</v>
      </c>
      <c r="H415" t="b">
        <f>Table_15[[#This Row],[Temps d''achat]]&gt;9.3</f>
        <v>0</v>
      </c>
      <c r="I415" t="b">
        <f>Table_15[[#This Row],[Temps d''achat]]&lt;4</f>
        <v>0</v>
      </c>
    </row>
    <row r="416" spans="1:9" x14ac:dyDescent="0.35">
      <c r="A416" s="43">
        <v>26</v>
      </c>
      <c r="B416" s="44">
        <v>9.3000000000000007</v>
      </c>
      <c r="C416" s="45">
        <v>78.83</v>
      </c>
      <c r="D416" s="46" t="s">
        <v>10</v>
      </c>
      <c r="G416" s="47">
        <f t="shared" si="11"/>
        <v>10220.709999999999</v>
      </c>
      <c r="H416" t="b">
        <f>Table_15[[#This Row],[Temps d''achat]]&gt;9.3</f>
        <v>0</v>
      </c>
      <c r="I416" t="b">
        <f>Table_15[[#This Row],[Temps d''achat]]&lt;4</f>
        <v>0</v>
      </c>
    </row>
    <row r="417" spans="1:9" x14ac:dyDescent="0.35">
      <c r="A417" s="39">
        <v>20</v>
      </c>
      <c r="B417" s="40">
        <v>6.75</v>
      </c>
      <c r="C417" s="41">
        <v>79.989999999999995</v>
      </c>
      <c r="D417" s="42" t="s">
        <v>10</v>
      </c>
      <c r="G417" s="47">
        <f t="shared" si="10"/>
        <v>10293.959999999999</v>
      </c>
      <c r="H417" t="b">
        <f>Table_15[[#This Row],[Temps d''achat]]&gt;9.3</f>
        <v>0</v>
      </c>
      <c r="I417" t="b">
        <f>Table_15[[#This Row],[Temps d''achat]]&lt;4</f>
        <v>0</v>
      </c>
    </row>
    <row r="418" spans="1:9" x14ac:dyDescent="0.35">
      <c r="A418" s="43">
        <v>36</v>
      </c>
      <c r="B418" s="44">
        <v>8.8800000000000008</v>
      </c>
      <c r="C418" s="45">
        <v>73.25</v>
      </c>
      <c r="D418" s="46" t="s">
        <v>10</v>
      </c>
      <c r="G418" s="47">
        <f t="shared" si="11"/>
        <v>10335.969999999999</v>
      </c>
      <c r="H418" t="b">
        <f>Table_15[[#This Row],[Temps d''achat]]&gt;9.3</f>
        <v>0</v>
      </c>
      <c r="I418" t="b">
        <f>Table_15[[#This Row],[Temps d''achat]]&lt;4</f>
        <v>0</v>
      </c>
    </row>
    <row r="419" spans="1:9" x14ac:dyDescent="0.35">
      <c r="A419" s="39">
        <v>36</v>
      </c>
      <c r="B419" s="40">
        <v>7.25</v>
      </c>
      <c r="C419" s="41">
        <v>42.01</v>
      </c>
      <c r="D419" s="42" t="s">
        <v>10</v>
      </c>
      <c r="G419" s="47">
        <f t="shared" si="10"/>
        <v>10397.869999999999</v>
      </c>
      <c r="H419" t="b">
        <f>Table_15[[#This Row],[Temps d''achat]]&gt;9.3</f>
        <v>0</v>
      </c>
      <c r="I419" t="b">
        <f>Table_15[[#This Row],[Temps d''achat]]&lt;4</f>
        <v>0</v>
      </c>
    </row>
    <row r="420" spans="1:9" x14ac:dyDescent="0.35">
      <c r="A420" s="43">
        <v>5</v>
      </c>
      <c r="B420" s="44">
        <v>6.8</v>
      </c>
      <c r="C420" s="45">
        <v>61.9</v>
      </c>
      <c r="D420" s="46" t="s">
        <v>10</v>
      </c>
      <c r="G420" s="47">
        <f t="shared" si="11"/>
        <v>10452.429999999998</v>
      </c>
      <c r="H420" t="b">
        <f>Table_15[[#This Row],[Temps d''achat]]&gt;9.3</f>
        <v>0</v>
      </c>
      <c r="I420" t="b">
        <f>Table_15[[#This Row],[Temps d''achat]]&lt;4</f>
        <v>0</v>
      </c>
    </row>
    <row r="421" spans="1:9" x14ac:dyDescent="0.35">
      <c r="A421" s="39">
        <v>15</v>
      </c>
      <c r="B421" s="40">
        <v>6.65</v>
      </c>
      <c r="C421" s="41">
        <v>54.56</v>
      </c>
      <c r="D421" s="42" t="s">
        <v>10</v>
      </c>
      <c r="G421" s="47">
        <f t="shared" si="10"/>
        <v>10524.05</v>
      </c>
      <c r="H421" t="b">
        <f>Table_15[[#This Row],[Temps d''achat]]&gt;9.3</f>
        <v>0</v>
      </c>
      <c r="I421" t="b">
        <f>Table_15[[#This Row],[Temps d''achat]]&lt;4</f>
        <v>0</v>
      </c>
    </row>
    <row r="422" spans="1:9" x14ac:dyDescent="0.35">
      <c r="A422" s="43">
        <v>28</v>
      </c>
      <c r="B422" s="44">
        <v>6.93</v>
      </c>
      <c r="C422" s="45">
        <v>71.62</v>
      </c>
      <c r="D422" s="46" t="s">
        <v>10</v>
      </c>
      <c r="G422" s="47">
        <f t="shared" si="11"/>
        <v>10596.97</v>
      </c>
      <c r="H422" t="b">
        <f>Table_15[[#This Row],[Temps d''achat]]&gt;9.3</f>
        <v>0</v>
      </c>
      <c r="I422" t="b">
        <f>Table_15[[#This Row],[Temps d''achat]]&lt;4</f>
        <v>0</v>
      </c>
    </row>
    <row r="423" spans="1:9" x14ac:dyDescent="0.35">
      <c r="A423" s="39">
        <v>35</v>
      </c>
      <c r="B423" s="40">
        <v>8.74</v>
      </c>
      <c r="C423" s="41">
        <v>72.92</v>
      </c>
      <c r="D423" s="42" t="s">
        <v>10</v>
      </c>
      <c r="G423" s="47">
        <f t="shared" si="10"/>
        <v>10638.46</v>
      </c>
      <c r="H423" t="b">
        <f>Table_15[[#This Row],[Temps d''achat]]&gt;9.3</f>
        <v>0</v>
      </c>
      <c r="I423" t="b">
        <f>Table_15[[#This Row],[Temps d''achat]]&lt;4</f>
        <v>0</v>
      </c>
    </row>
    <row r="424" spans="1:9" x14ac:dyDescent="0.35">
      <c r="A424" s="43">
        <v>29</v>
      </c>
      <c r="B424" s="44">
        <v>7.9</v>
      </c>
      <c r="C424" s="45">
        <v>41.49</v>
      </c>
      <c r="D424" s="46" t="s">
        <v>10</v>
      </c>
      <c r="G424" s="47">
        <f t="shared" si="11"/>
        <v>10706.199999999999</v>
      </c>
      <c r="H424" t="b">
        <f>Table_15[[#This Row],[Temps d''achat]]&gt;9.3</f>
        <v>0</v>
      </c>
      <c r="I424" t="b">
        <f>Table_15[[#This Row],[Temps d''achat]]&lt;4</f>
        <v>0</v>
      </c>
    </row>
    <row r="425" spans="1:9" x14ac:dyDescent="0.35">
      <c r="A425" s="39">
        <v>42</v>
      </c>
      <c r="B425" s="40">
        <v>6.73</v>
      </c>
      <c r="C425" s="41">
        <v>67.739999999999995</v>
      </c>
      <c r="D425" s="42" t="s">
        <v>10</v>
      </c>
      <c r="G425" s="47">
        <f t="shared" si="10"/>
        <v>10749.609999999999</v>
      </c>
      <c r="H425" t="b">
        <f>Table_15[[#This Row],[Temps d''achat]]&gt;9.3</f>
        <v>0</v>
      </c>
      <c r="I425" t="b">
        <f>Table_15[[#This Row],[Temps d''achat]]&lt;4</f>
        <v>0</v>
      </c>
    </row>
    <row r="426" spans="1:9" x14ac:dyDescent="0.35">
      <c r="A426" s="43">
        <v>14</v>
      </c>
      <c r="B426" s="44">
        <v>5.79</v>
      </c>
      <c r="C426" s="45">
        <v>43.41</v>
      </c>
      <c r="D426" s="46" t="s">
        <v>10</v>
      </c>
      <c r="G426" s="47">
        <f t="shared" si="11"/>
        <v>10792.519999999999</v>
      </c>
      <c r="H426" t="b">
        <f>Table_15[[#This Row],[Temps d''achat]]&gt;9.3</f>
        <v>0</v>
      </c>
      <c r="I426" t="b">
        <f>Table_15[[#This Row],[Temps d''achat]]&lt;4</f>
        <v>0</v>
      </c>
    </row>
    <row r="427" spans="1:9" x14ac:dyDescent="0.35">
      <c r="A427" s="39">
        <v>25</v>
      </c>
      <c r="B427" s="40">
        <v>4.99</v>
      </c>
      <c r="C427" s="41">
        <v>42.91</v>
      </c>
      <c r="D427" s="42" t="s">
        <v>10</v>
      </c>
      <c r="G427" s="47">
        <f t="shared" si="10"/>
        <v>10859.169999999998</v>
      </c>
      <c r="H427" t="b">
        <f>Table_15[[#This Row],[Temps d''achat]]&gt;9.3</f>
        <v>0</v>
      </c>
      <c r="I427" t="b">
        <f>Table_15[[#This Row],[Temps d''achat]]&lt;4</f>
        <v>0</v>
      </c>
    </row>
    <row r="428" spans="1:9" x14ac:dyDescent="0.35">
      <c r="A428" s="43">
        <v>5</v>
      </c>
      <c r="B428" s="44">
        <v>8.52</v>
      </c>
      <c r="C428" s="45">
        <v>66.650000000000006</v>
      </c>
      <c r="D428" s="46" t="s">
        <v>10</v>
      </c>
      <c r="G428" s="47">
        <f t="shared" si="11"/>
        <v>10914.799999999997</v>
      </c>
      <c r="H428" t="b">
        <f>Table_15[[#This Row],[Temps d''achat]]&gt;9.3</f>
        <v>0</v>
      </c>
      <c r="I428" t="b">
        <f>Table_15[[#This Row],[Temps d''achat]]&lt;4</f>
        <v>0</v>
      </c>
    </row>
    <row r="429" spans="1:9" x14ac:dyDescent="0.35">
      <c r="A429" s="39">
        <v>74</v>
      </c>
      <c r="B429" s="40">
        <v>6.65</v>
      </c>
      <c r="C429" s="41">
        <v>55.63</v>
      </c>
      <c r="D429" s="42" t="s">
        <v>10</v>
      </c>
      <c r="G429" s="47">
        <f t="shared" si="10"/>
        <v>11004.259999999997</v>
      </c>
      <c r="H429" t="b">
        <f>Table_15[[#This Row],[Temps d''achat]]&gt;9.3</f>
        <v>0</v>
      </c>
      <c r="I429" t="b">
        <f>Table_15[[#This Row],[Temps d''achat]]&lt;4</f>
        <v>0</v>
      </c>
    </row>
    <row r="430" spans="1:9" x14ac:dyDescent="0.35">
      <c r="A430" s="43">
        <v>2</v>
      </c>
      <c r="B430" s="44">
        <v>7.12</v>
      </c>
      <c r="C430" s="45">
        <v>89.46</v>
      </c>
      <c r="D430" s="46" t="s">
        <v>10</v>
      </c>
      <c r="G430" s="47">
        <f t="shared" si="11"/>
        <v>11040.009999999997</v>
      </c>
      <c r="H430" t="b">
        <f>Table_15[[#This Row],[Temps d''achat]]&gt;9.3</f>
        <v>0</v>
      </c>
      <c r="I430" t="b">
        <f>Table_15[[#This Row],[Temps d''achat]]&lt;4</f>
        <v>0</v>
      </c>
    </row>
    <row r="431" spans="1:9" x14ac:dyDescent="0.35">
      <c r="A431" s="39">
        <v>51</v>
      </c>
      <c r="B431" s="40">
        <v>7.45</v>
      </c>
      <c r="C431" s="41">
        <v>35.75</v>
      </c>
      <c r="D431" s="42" t="s">
        <v>10</v>
      </c>
      <c r="G431" s="47">
        <f t="shared" ref="G431:G493" si="12">G430+C432</f>
        <v>11085.039999999997</v>
      </c>
      <c r="H431" t="b">
        <f>Table_15[[#This Row],[Temps d''achat]]&gt;9.3</f>
        <v>0</v>
      </c>
      <c r="I431" t="b">
        <f>Table_15[[#This Row],[Temps d''achat]]&lt;4</f>
        <v>0</v>
      </c>
    </row>
    <row r="432" spans="1:9" x14ac:dyDescent="0.35">
      <c r="A432" s="43">
        <v>38</v>
      </c>
      <c r="B432" s="44">
        <v>6.02</v>
      </c>
      <c r="C432" s="45">
        <v>45.03</v>
      </c>
      <c r="D432" s="46" t="s">
        <v>10</v>
      </c>
      <c r="G432" s="47">
        <f t="shared" ref="G432:G494" si="13">C433+G431</f>
        <v>11140.249999999996</v>
      </c>
      <c r="H432" t="b">
        <f>Table_15[[#This Row],[Temps d''achat]]&gt;9.3</f>
        <v>0</v>
      </c>
      <c r="I432" t="b">
        <f>Table_15[[#This Row],[Temps d''achat]]&lt;4</f>
        <v>0</v>
      </c>
    </row>
    <row r="433" spans="1:9" x14ac:dyDescent="0.35">
      <c r="A433" s="39">
        <v>21</v>
      </c>
      <c r="B433" s="40">
        <v>7.87</v>
      </c>
      <c r="C433" s="41">
        <v>55.21</v>
      </c>
      <c r="D433" s="42" t="s">
        <v>10</v>
      </c>
      <c r="G433" s="47">
        <f t="shared" si="12"/>
        <v>11202.059999999996</v>
      </c>
      <c r="H433" t="b">
        <f>Table_15[[#This Row],[Temps d''achat]]&gt;9.3</f>
        <v>0</v>
      </c>
      <c r="I433" t="b">
        <f>Table_15[[#This Row],[Temps d''achat]]&lt;4</f>
        <v>0</v>
      </c>
    </row>
    <row r="434" spans="1:9" x14ac:dyDescent="0.35">
      <c r="A434" s="43">
        <v>48</v>
      </c>
      <c r="B434" s="44">
        <v>4.6900000000000004</v>
      </c>
      <c r="C434" s="45">
        <v>61.81</v>
      </c>
      <c r="D434" s="46" t="s">
        <v>10</v>
      </c>
      <c r="G434" s="47">
        <f t="shared" si="13"/>
        <v>11281.729999999996</v>
      </c>
      <c r="H434" t="b">
        <f>Table_15[[#This Row],[Temps d''achat]]&gt;9.3</f>
        <v>0</v>
      </c>
      <c r="I434" t="b">
        <f>Table_15[[#This Row],[Temps d''achat]]&lt;4</f>
        <v>0</v>
      </c>
    </row>
    <row r="435" spans="1:9" x14ac:dyDescent="0.35">
      <c r="A435" s="39">
        <v>14</v>
      </c>
      <c r="B435" s="40">
        <v>6.74</v>
      </c>
      <c r="C435" s="41">
        <v>79.67</v>
      </c>
      <c r="D435" s="42" t="s">
        <v>10</v>
      </c>
      <c r="G435" s="47">
        <f t="shared" si="12"/>
        <v>11320.589999999997</v>
      </c>
      <c r="H435" t="b">
        <f>Table_15[[#This Row],[Temps d''achat]]&gt;9.3</f>
        <v>0</v>
      </c>
      <c r="I435" t="b">
        <f>Table_15[[#This Row],[Temps d''achat]]&lt;4</f>
        <v>0</v>
      </c>
    </row>
    <row r="436" spans="1:9" x14ac:dyDescent="0.35">
      <c r="A436" s="43">
        <v>38</v>
      </c>
      <c r="B436" s="44">
        <v>4.92</v>
      </c>
      <c r="C436" s="45">
        <v>38.86</v>
      </c>
      <c r="D436" s="46" t="s">
        <v>10</v>
      </c>
      <c r="G436" s="47">
        <f t="shared" si="13"/>
        <v>11411.979999999996</v>
      </c>
      <c r="H436" t="b">
        <f>Table_15[[#This Row],[Temps d''achat]]&gt;9.3</f>
        <v>0</v>
      </c>
      <c r="I436" t="b">
        <f>Table_15[[#This Row],[Temps d''achat]]&lt;4</f>
        <v>0</v>
      </c>
    </row>
    <row r="437" spans="1:9" x14ac:dyDescent="0.35">
      <c r="A437" s="39">
        <v>36</v>
      </c>
      <c r="B437" s="40">
        <v>7.25</v>
      </c>
      <c r="C437" s="41">
        <v>91.39</v>
      </c>
      <c r="D437" s="42" t="s">
        <v>10</v>
      </c>
      <c r="G437" s="47">
        <f t="shared" si="12"/>
        <v>11457.629999999996</v>
      </c>
      <c r="H437" t="b">
        <f>Table_15[[#This Row],[Temps d''achat]]&gt;9.3</f>
        <v>0</v>
      </c>
      <c r="I437" t="b">
        <f>Table_15[[#This Row],[Temps d''achat]]&lt;4</f>
        <v>0</v>
      </c>
    </row>
    <row r="438" spans="1:9" x14ac:dyDescent="0.35">
      <c r="A438" s="43">
        <v>22</v>
      </c>
      <c r="B438" s="44">
        <v>5.05</v>
      </c>
      <c r="C438" s="45">
        <v>45.65</v>
      </c>
      <c r="D438" s="46" t="s">
        <v>10</v>
      </c>
      <c r="G438" s="47">
        <f t="shared" si="13"/>
        <v>11522.649999999996</v>
      </c>
      <c r="H438" t="b">
        <f>Table_15[[#This Row],[Temps d''achat]]&gt;9.3</f>
        <v>0</v>
      </c>
      <c r="I438" t="b">
        <f>Table_15[[#This Row],[Temps d''achat]]&lt;4</f>
        <v>0</v>
      </c>
    </row>
    <row r="439" spans="1:9" x14ac:dyDescent="0.35">
      <c r="A439" s="39">
        <v>24</v>
      </c>
      <c r="B439" s="40">
        <v>5.65</v>
      </c>
      <c r="C439" s="41">
        <v>65.02</v>
      </c>
      <c r="D439" s="42" t="s">
        <v>10</v>
      </c>
      <c r="G439" s="47">
        <f t="shared" si="12"/>
        <v>11595.159999999996</v>
      </c>
      <c r="H439" t="b">
        <f>Table_15[[#This Row],[Temps d''achat]]&gt;9.3</f>
        <v>0</v>
      </c>
      <c r="I439" t="b">
        <f>Table_15[[#This Row],[Temps d''achat]]&lt;4</f>
        <v>0</v>
      </c>
    </row>
    <row r="440" spans="1:9" x14ac:dyDescent="0.35">
      <c r="A440" s="43">
        <v>22</v>
      </c>
      <c r="B440" s="44">
        <v>9.1999999999999993</v>
      </c>
      <c r="C440" s="45">
        <v>72.510000000000005</v>
      </c>
      <c r="D440" s="46" t="s">
        <v>10</v>
      </c>
      <c r="G440" s="47">
        <f t="shared" si="13"/>
        <v>11668.419999999996</v>
      </c>
      <c r="H440" t="b">
        <f>Table_15[[#This Row],[Temps d''achat]]&gt;9.3</f>
        <v>0</v>
      </c>
      <c r="I440" t="b">
        <f>Table_15[[#This Row],[Temps d''achat]]&lt;4</f>
        <v>0</v>
      </c>
    </row>
    <row r="441" spans="1:9" x14ac:dyDescent="0.35">
      <c r="A441" s="39">
        <v>29</v>
      </c>
      <c r="B441" s="40">
        <v>6.32</v>
      </c>
      <c r="C441" s="41">
        <v>73.260000000000005</v>
      </c>
      <c r="D441" s="42" t="s">
        <v>10</v>
      </c>
      <c r="G441" s="47">
        <f t="shared" si="12"/>
        <v>11688.589999999997</v>
      </c>
      <c r="H441" t="b">
        <f>Table_15[[#This Row],[Temps d''achat]]&gt;9.3</f>
        <v>0</v>
      </c>
      <c r="I441" t="b">
        <f>Table_15[[#This Row],[Temps d''achat]]&lt;4</f>
        <v>0</v>
      </c>
    </row>
    <row r="442" spans="1:9" x14ac:dyDescent="0.35">
      <c r="A442" s="43">
        <v>7</v>
      </c>
      <c r="B442" s="44">
        <v>4.3899999999999997</v>
      </c>
      <c r="C442" s="45">
        <v>20.170000000000002</v>
      </c>
      <c r="D442" s="46" t="s">
        <v>10</v>
      </c>
      <c r="G442" s="47">
        <f t="shared" si="13"/>
        <v>11753.779999999997</v>
      </c>
      <c r="H442" t="b">
        <f>Table_15[[#This Row],[Temps d''achat]]&gt;9.3</f>
        <v>0</v>
      </c>
      <c r="I442" t="b">
        <f>Table_15[[#This Row],[Temps d''achat]]&lt;4</f>
        <v>0</v>
      </c>
    </row>
    <row r="443" spans="1:9" x14ac:dyDescent="0.35">
      <c r="A443" s="39">
        <v>43</v>
      </c>
      <c r="B443" s="40">
        <v>9.18</v>
      </c>
      <c r="C443" s="41">
        <v>65.19</v>
      </c>
      <c r="D443" s="42" t="s">
        <v>10</v>
      </c>
      <c r="G443" s="47">
        <f t="shared" si="12"/>
        <v>11807.179999999997</v>
      </c>
      <c r="H443" t="b">
        <f>Table_15[[#This Row],[Temps d''achat]]&gt;9.3</f>
        <v>0</v>
      </c>
      <c r="I443" t="b">
        <f>Table_15[[#This Row],[Temps d''achat]]&lt;4</f>
        <v>0</v>
      </c>
    </row>
    <row r="444" spans="1:9" x14ac:dyDescent="0.35">
      <c r="A444" s="43">
        <v>15</v>
      </c>
      <c r="B444" s="44">
        <v>7.42</v>
      </c>
      <c r="C444" s="45">
        <v>53.4</v>
      </c>
      <c r="D444" s="46" t="s">
        <v>10</v>
      </c>
      <c r="G444" s="47">
        <f t="shared" si="13"/>
        <v>11889.249999999996</v>
      </c>
      <c r="H444" t="b">
        <f>Table_15[[#This Row],[Temps d''achat]]&gt;9.3</f>
        <v>0</v>
      </c>
      <c r="I444" t="b">
        <f>Table_15[[#This Row],[Temps d''achat]]&lt;4</f>
        <v>0</v>
      </c>
    </row>
    <row r="445" spans="1:9" x14ac:dyDescent="0.35">
      <c r="A445" s="39">
        <v>14</v>
      </c>
      <c r="B445" s="40">
        <v>9.69</v>
      </c>
      <c r="C445" s="52">
        <v>82.07</v>
      </c>
      <c r="D445" s="42" t="s">
        <v>10</v>
      </c>
      <c r="G445" s="47">
        <f t="shared" si="12"/>
        <v>11955.969999999996</v>
      </c>
      <c r="H445" t="b">
        <f>Table_15[[#This Row],[Temps d''achat]]&gt;9.3</f>
        <v>1</v>
      </c>
      <c r="I445" t="b">
        <f>Table_15[[#This Row],[Temps d''achat]]&lt;4</f>
        <v>0</v>
      </c>
    </row>
    <row r="446" spans="1:9" x14ac:dyDescent="0.35">
      <c r="A446" s="43">
        <v>2</v>
      </c>
      <c r="B446" s="44">
        <v>6.03</v>
      </c>
      <c r="C446" s="45">
        <v>66.72</v>
      </c>
      <c r="D446" s="46" t="s">
        <v>10</v>
      </c>
      <c r="G446" s="47">
        <f t="shared" si="13"/>
        <v>11979.279999999995</v>
      </c>
      <c r="H446" t="b">
        <f>Table_15[[#This Row],[Temps d''achat]]&gt;9.3</f>
        <v>0</v>
      </c>
      <c r="I446" t="b">
        <f>Table_15[[#This Row],[Temps d''achat]]&lt;4</f>
        <v>0</v>
      </c>
    </row>
    <row r="447" spans="1:9" x14ac:dyDescent="0.35">
      <c r="A447" s="39">
        <v>68</v>
      </c>
      <c r="B447" s="40">
        <v>4.37</v>
      </c>
      <c r="C447" s="41">
        <v>23.31</v>
      </c>
      <c r="D447" s="42" t="s">
        <v>10</v>
      </c>
      <c r="G447" s="47">
        <f t="shared" si="12"/>
        <v>12054.709999999995</v>
      </c>
      <c r="H447" t="b">
        <f>Table_15[[#This Row],[Temps d''achat]]&gt;9.3</f>
        <v>0</v>
      </c>
      <c r="I447" t="b">
        <f>Table_15[[#This Row],[Temps d''achat]]&lt;4</f>
        <v>0</v>
      </c>
    </row>
    <row r="448" spans="1:9" x14ac:dyDescent="0.35">
      <c r="A448" s="43">
        <v>19</v>
      </c>
      <c r="B448" s="44">
        <v>7.73</v>
      </c>
      <c r="C448" s="45">
        <v>75.430000000000007</v>
      </c>
      <c r="D448" s="46" t="s">
        <v>10</v>
      </c>
      <c r="G448" s="47">
        <f t="shared" si="13"/>
        <v>12084.699999999995</v>
      </c>
      <c r="H448" t="b">
        <f>Table_15[[#This Row],[Temps d''achat]]&gt;9.3</f>
        <v>0</v>
      </c>
      <c r="I448" t="b">
        <f>Table_15[[#This Row],[Temps d''achat]]&lt;4</f>
        <v>0</v>
      </c>
    </row>
    <row r="449" spans="1:9" x14ac:dyDescent="0.35">
      <c r="A449" s="39">
        <v>10</v>
      </c>
      <c r="B449" s="40">
        <v>4.8</v>
      </c>
      <c r="C449" s="41">
        <v>29.99</v>
      </c>
      <c r="D449" s="42" t="s">
        <v>10</v>
      </c>
      <c r="G449" s="47">
        <f t="shared" si="12"/>
        <v>12144.629999999996</v>
      </c>
      <c r="H449" t="b">
        <f>Table_15[[#This Row],[Temps d''achat]]&gt;9.3</f>
        <v>0</v>
      </c>
      <c r="I449" t="b">
        <f>Table_15[[#This Row],[Temps d''achat]]&lt;4</f>
        <v>0</v>
      </c>
    </row>
    <row r="450" spans="1:9" x14ac:dyDescent="0.35">
      <c r="A450" s="43">
        <v>29</v>
      </c>
      <c r="B450" s="44">
        <v>4.8499999999999996</v>
      </c>
      <c r="C450" s="45">
        <v>59.93</v>
      </c>
      <c r="D450" s="46" t="s">
        <v>10</v>
      </c>
      <c r="G450" s="47">
        <f t="shared" si="13"/>
        <v>12232.959999999995</v>
      </c>
      <c r="H450" t="b">
        <f>Table_15[[#This Row],[Temps d''achat]]&gt;9.3</f>
        <v>0</v>
      </c>
      <c r="I450" t="b">
        <f>Table_15[[#This Row],[Temps d''achat]]&lt;4</f>
        <v>0</v>
      </c>
    </row>
    <row r="451" spans="1:9" x14ac:dyDescent="0.35">
      <c r="A451" s="39">
        <v>50</v>
      </c>
      <c r="B451" s="40">
        <v>8.42</v>
      </c>
      <c r="C451" s="41">
        <v>88.33</v>
      </c>
      <c r="D451" s="42" t="s">
        <v>10</v>
      </c>
      <c r="G451" s="47">
        <f t="shared" si="12"/>
        <v>12327.669999999995</v>
      </c>
      <c r="H451" t="b">
        <f>Table_15[[#This Row],[Temps d''achat]]&gt;9.3</f>
        <v>0</v>
      </c>
      <c r="I451" t="b">
        <f>Table_15[[#This Row],[Temps d''achat]]&lt;4</f>
        <v>0</v>
      </c>
    </row>
    <row r="452" spans="1:9" x14ac:dyDescent="0.35">
      <c r="A452" s="43">
        <v>2</v>
      </c>
      <c r="B452" s="44">
        <v>9.73</v>
      </c>
      <c r="C452" s="53">
        <v>94.71</v>
      </c>
      <c r="D452" s="46" t="s">
        <v>10</v>
      </c>
      <c r="G452" s="47">
        <f t="shared" si="13"/>
        <v>12382.969999999994</v>
      </c>
      <c r="H452" t="b">
        <f>Table_15[[#This Row],[Temps d''achat]]&gt;9.3</f>
        <v>1</v>
      </c>
      <c r="I452" t="b">
        <f>Table_15[[#This Row],[Temps d''achat]]&lt;4</f>
        <v>0</v>
      </c>
    </row>
    <row r="453" spans="1:9" x14ac:dyDescent="0.35">
      <c r="A453" s="39">
        <v>40</v>
      </c>
      <c r="B453" s="40">
        <v>9.27</v>
      </c>
      <c r="C453" s="41">
        <v>55.3</v>
      </c>
      <c r="D453" s="42" t="s">
        <v>10</v>
      </c>
      <c r="G453" s="47">
        <f t="shared" si="12"/>
        <v>12424.309999999994</v>
      </c>
      <c r="H453" t="b">
        <f>Table_15[[#This Row],[Temps d''achat]]&gt;9.3</f>
        <v>0</v>
      </c>
      <c r="I453" t="b">
        <f>Table_15[[#This Row],[Temps d''achat]]&lt;4</f>
        <v>0</v>
      </c>
    </row>
    <row r="454" spans="1:9" x14ac:dyDescent="0.35">
      <c r="A454" s="43">
        <v>23</v>
      </c>
      <c r="B454" s="44">
        <v>4.6100000000000003</v>
      </c>
      <c r="C454" s="45">
        <v>41.34</v>
      </c>
      <c r="D454" s="46" t="s">
        <v>10</v>
      </c>
      <c r="G454" s="47">
        <f t="shared" si="13"/>
        <v>12480.189999999993</v>
      </c>
      <c r="H454" t="b">
        <f>Table_15[[#This Row],[Temps d''achat]]&gt;9.3</f>
        <v>0</v>
      </c>
      <c r="I454" t="b">
        <f>Table_15[[#This Row],[Temps d''achat]]&lt;4</f>
        <v>0</v>
      </c>
    </row>
    <row r="455" spans="1:9" x14ac:dyDescent="0.35">
      <c r="A455" s="39">
        <v>35</v>
      </c>
      <c r="B455" s="40">
        <v>7.46</v>
      </c>
      <c r="C455" s="41">
        <v>55.88</v>
      </c>
      <c r="D455" s="42" t="s">
        <v>10</v>
      </c>
      <c r="G455" s="47">
        <f t="shared" si="12"/>
        <v>12531.129999999994</v>
      </c>
      <c r="H455" t="b">
        <f>Table_15[[#This Row],[Temps d''achat]]&gt;9.3</f>
        <v>0</v>
      </c>
      <c r="I455" t="b">
        <f>Table_15[[#This Row],[Temps d''achat]]&lt;4</f>
        <v>0</v>
      </c>
    </row>
    <row r="456" spans="1:9" x14ac:dyDescent="0.35">
      <c r="A456" s="43">
        <v>36</v>
      </c>
      <c r="B456" s="44">
        <v>5.86</v>
      </c>
      <c r="C456" s="45">
        <v>50.94</v>
      </c>
      <c r="D456" s="46" t="s">
        <v>10</v>
      </c>
      <c r="G456" s="47">
        <f t="shared" si="13"/>
        <v>12604.579999999994</v>
      </c>
      <c r="H456" t="b">
        <f>Table_15[[#This Row],[Temps d''achat]]&gt;9.3</f>
        <v>0</v>
      </c>
      <c r="I456" t="b">
        <f>Table_15[[#This Row],[Temps d''achat]]&lt;4</f>
        <v>0</v>
      </c>
    </row>
    <row r="457" spans="1:9" x14ac:dyDescent="0.35">
      <c r="A457" s="39">
        <v>8</v>
      </c>
      <c r="B457" s="40">
        <v>9.1999999999999993</v>
      </c>
      <c r="C457" s="41">
        <v>73.45</v>
      </c>
      <c r="D457" s="42" t="s">
        <v>10</v>
      </c>
      <c r="G457" s="47">
        <f t="shared" si="12"/>
        <v>12638.629999999994</v>
      </c>
      <c r="H457" t="b">
        <f>Table_15[[#This Row],[Temps d''achat]]&gt;9.3</f>
        <v>0</v>
      </c>
      <c r="I457" t="b">
        <f>Table_15[[#This Row],[Temps d''achat]]&lt;4</f>
        <v>0</v>
      </c>
    </row>
    <row r="458" spans="1:9" x14ac:dyDescent="0.35">
      <c r="A458" s="43">
        <v>20</v>
      </c>
      <c r="B458" s="44">
        <v>4.46</v>
      </c>
      <c r="C458" s="45">
        <v>34.049999999999997</v>
      </c>
      <c r="D458" s="46" t="s">
        <v>10</v>
      </c>
      <c r="G458" s="47">
        <f t="shared" si="13"/>
        <v>12699.829999999994</v>
      </c>
      <c r="H458" t="b">
        <f>Table_15[[#This Row],[Temps d''achat]]&gt;9.3</f>
        <v>0</v>
      </c>
      <c r="I458" t="b">
        <f>Table_15[[#This Row],[Temps d''achat]]&lt;4</f>
        <v>0</v>
      </c>
    </row>
    <row r="459" spans="1:9" x14ac:dyDescent="0.35">
      <c r="A459" s="39">
        <v>37</v>
      </c>
      <c r="B459" s="40">
        <v>9.44</v>
      </c>
      <c r="C459" s="52">
        <v>61.2</v>
      </c>
      <c r="D459" s="42" t="s">
        <v>10</v>
      </c>
      <c r="G459" s="47">
        <f t="shared" si="12"/>
        <v>12774.909999999994</v>
      </c>
      <c r="H459" t="b">
        <f>Table_15[[#This Row],[Temps d''achat]]&gt;9.3</f>
        <v>1</v>
      </c>
      <c r="I459" t="b">
        <f>Table_15[[#This Row],[Temps d''achat]]&lt;4</f>
        <v>0</v>
      </c>
    </row>
    <row r="460" spans="1:9" x14ac:dyDescent="0.35">
      <c r="A460" s="43">
        <v>46</v>
      </c>
      <c r="B460" s="44">
        <v>9.4700000000000006</v>
      </c>
      <c r="C460" s="53">
        <v>75.08</v>
      </c>
      <c r="D460" s="46" t="s">
        <v>10</v>
      </c>
      <c r="G460" s="47">
        <f t="shared" si="13"/>
        <v>12846.379999999994</v>
      </c>
      <c r="H460" t="b">
        <f>Table_15[[#This Row],[Temps d''achat]]&gt;9.3</f>
        <v>1</v>
      </c>
      <c r="I460" t="b">
        <f>Table_15[[#This Row],[Temps d''achat]]&lt;4</f>
        <v>0</v>
      </c>
    </row>
    <row r="461" spans="1:9" x14ac:dyDescent="0.35">
      <c r="A461" s="39">
        <v>26</v>
      </c>
      <c r="B461" s="40">
        <v>7.81</v>
      </c>
      <c r="C461" s="41">
        <v>71.47</v>
      </c>
      <c r="D461" s="42" t="s">
        <v>10</v>
      </c>
      <c r="G461" s="47">
        <f t="shared" si="12"/>
        <v>12902.459999999994</v>
      </c>
      <c r="H461" t="b">
        <f>Table_15[[#This Row],[Temps d''achat]]&gt;9.3</f>
        <v>0</v>
      </c>
      <c r="I461" t="b">
        <f>Table_15[[#This Row],[Temps d''achat]]&lt;4</f>
        <v>0</v>
      </c>
    </row>
    <row r="462" spans="1:9" x14ac:dyDescent="0.35">
      <c r="A462" s="43">
        <v>31</v>
      </c>
      <c r="B462" s="44">
        <v>6.34</v>
      </c>
      <c r="C462" s="45">
        <v>56.08</v>
      </c>
      <c r="D462" s="46" t="s">
        <v>10</v>
      </c>
      <c r="G462" s="47">
        <f t="shared" si="13"/>
        <v>12972.819999999994</v>
      </c>
      <c r="H462" t="b">
        <f>Table_15[[#This Row],[Temps d''achat]]&gt;9.3</f>
        <v>0</v>
      </c>
      <c r="I462" t="b">
        <f>Table_15[[#This Row],[Temps d''achat]]&lt;4</f>
        <v>0</v>
      </c>
    </row>
    <row r="463" spans="1:9" x14ac:dyDescent="0.35">
      <c r="A463" s="39">
        <v>40</v>
      </c>
      <c r="B463" s="40">
        <v>5.5</v>
      </c>
      <c r="C463" s="41">
        <v>70.36</v>
      </c>
      <c r="D463" s="42" t="s">
        <v>10</v>
      </c>
      <c r="G463" s="47">
        <f t="shared" si="12"/>
        <v>13065.039999999994</v>
      </c>
      <c r="H463" t="b">
        <f>Table_15[[#This Row],[Temps d''achat]]&gt;9.3</f>
        <v>0</v>
      </c>
      <c r="I463" t="b">
        <f>Table_15[[#This Row],[Temps d''achat]]&lt;4</f>
        <v>0</v>
      </c>
    </row>
    <row r="464" spans="1:9" x14ac:dyDescent="0.35">
      <c r="A464" s="43">
        <v>34</v>
      </c>
      <c r="B464" s="44">
        <v>9.99</v>
      </c>
      <c r="C464" s="53">
        <v>92.22</v>
      </c>
      <c r="D464" s="46" t="s">
        <v>10</v>
      </c>
      <c r="G464" s="47">
        <f t="shared" si="13"/>
        <v>13150.829999999994</v>
      </c>
      <c r="H464" t="b">
        <f>Table_15[[#This Row],[Temps d''achat]]&gt;9.3</f>
        <v>1</v>
      </c>
      <c r="I464" t="b">
        <f>Table_15[[#This Row],[Temps d''achat]]&lt;4</f>
        <v>0</v>
      </c>
    </row>
    <row r="465" spans="1:9" x14ac:dyDescent="0.35">
      <c r="A465" s="39">
        <v>34</v>
      </c>
      <c r="B465" s="40">
        <v>8.89</v>
      </c>
      <c r="C465" s="41">
        <v>85.79</v>
      </c>
      <c r="D465" s="42" t="s">
        <v>10</v>
      </c>
      <c r="G465" s="47">
        <f t="shared" si="12"/>
        <v>13209.089999999995</v>
      </c>
      <c r="H465" t="b">
        <f>Table_15[[#This Row],[Temps d''achat]]&gt;9.3</f>
        <v>0</v>
      </c>
      <c r="I465" t="b">
        <f>Table_15[[#This Row],[Temps d''achat]]&lt;4</f>
        <v>0</v>
      </c>
    </row>
    <row r="466" spans="1:9" x14ac:dyDescent="0.35">
      <c r="A466" s="43">
        <v>23</v>
      </c>
      <c r="B466" s="44">
        <v>9.3000000000000007</v>
      </c>
      <c r="C466" s="45">
        <v>58.26</v>
      </c>
      <c r="D466" s="46" t="s">
        <v>10</v>
      </c>
      <c r="G466" s="47">
        <f t="shared" si="13"/>
        <v>13259.269999999995</v>
      </c>
      <c r="H466" t="b">
        <f>Table_15[[#This Row],[Temps d''achat]]&gt;9.3</f>
        <v>0</v>
      </c>
      <c r="I466" t="b">
        <f>Table_15[[#This Row],[Temps d''achat]]&lt;4</f>
        <v>0</v>
      </c>
    </row>
    <row r="467" spans="1:9" x14ac:dyDescent="0.35">
      <c r="A467" s="39">
        <v>8</v>
      </c>
      <c r="B467" s="40">
        <v>6.67</v>
      </c>
      <c r="C467" s="41">
        <v>50.18</v>
      </c>
      <c r="D467" s="42" t="s">
        <v>10</v>
      </c>
      <c r="G467" s="47">
        <f t="shared" si="12"/>
        <v>13319.769999999995</v>
      </c>
      <c r="H467" t="b">
        <f>Table_15[[#This Row],[Temps d''achat]]&gt;9.3</f>
        <v>0</v>
      </c>
      <c r="I467" t="b">
        <f>Table_15[[#This Row],[Temps d''achat]]&lt;4</f>
        <v>0</v>
      </c>
    </row>
    <row r="468" spans="1:9" x14ac:dyDescent="0.35">
      <c r="A468" s="43">
        <v>18</v>
      </c>
      <c r="B468" s="44">
        <v>6.54</v>
      </c>
      <c r="C468" s="45">
        <v>60.5</v>
      </c>
      <c r="D468" s="46" t="s">
        <v>10</v>
      </c>
      <c r="G468" s="47">
        <f t="shared" si="13"/>
        <v>13370.569999999994</v>
      </c>
      <c r="H468" t="b">
        <f>Table_15[[#This Row],[Temps d''achat]]&gt;9.3</f>
        <v>0</v>
      </c>
      <c r="I468" t="b">
        <f>Table_15[[#This Row],[Temps d''achat]]&lt;4</f>
        <v>0</v>
      </c>
    </row>
    <row r="469" spans="1:9" x14ac:dyDescent="0.35">
      <c r="A469" s="39">
        <v>38</v>
      </c>
      <c r="B469" s="40">
        <v>6.92</v>
      </c>
      <c r="C469" s="41">
        <v>50.8</v>
      </c>
      <c r="D469" s="42" t="s">
        <v>10</v>
      </c>
      <c r="G469" s="47">
        <f t="shared" si="12"/>
        <v>13425.419999999995</v>
      </c>
      <c r="H469" t="b">
        <f>Table_15[[#This Row],[Temps d''achat]]&gt;9.3</f>
        <v>0</v>
      </c>
      <c r="I469" t="b">
        <f>Table_15[[#This Row],[Temps d''achat]]&lt;4</f>
        <v>0</v>
      </c>
    </row>
    <row r="470" spans="1:9" x14ac:dyDescent="0.35">
      <c r="A470" s="43">
        <v>33</v>
      </c>
      <c r="B470" s="44">
        <v>5.91</v>
      </c>
      <c r="C470" s="45">
        <v>54.85</v>
      </c>
      <c r="D470" s="46" t="s">
        <v>10</v>
      </c>
      <c r="G470" s="47">
        <f t="shared" si="13"/>
        <v>13461.989999999994</v>
      </c>
      <c r="H470" t="b">
        <f>Table_15[[#This Row],[Temps d''achat]]&gt;9.3</f>
        <v>0</v>
      </c>
      <c r="I470" t="b">
        <f>Table_15[[#This Row],[Temps d''achat]]&lt;4</f>
        <v>0</v>
      </c>
    </row>
    <row r="471" spans="1:9" x14ac:dyDescent="0.35">
      <c r="A471" s="39">
        <v>1</v>
      </c>
      <c r="B471" s="40">
        <v>5.76</v>
      </c>
      <c r="C471" s="41">
        <v>36.57</v>
      </c>
      <c r="D471" s="42" t="s">
        <v>10</v>
      </c>
      <c r="G471" s="47">
        <f t="shared" si="12"/>
        <v>13543.629999999994</v>
      </c>
      <c r="H471" t="b">
        <f>Table_15[[#This Row],[Temps d''achat]]&gt;9.3</f>
        <v>0</v>
      </c>
      <c r="I471" t="b">
        <f>Table_15[[#This Row],[Temps d''achat]]&lt;4</f>
        <v>0</v>
      </c>
    </row>
    <row r="472" spans="1:9" x14ac:dyDescent="0.35">
      <c r="A472" s="43">
        <v>28</v>
      </c>
      <c r="B472" s="44">
        <v>9.27</v>
      </c>
      <c r="C472" s="45">
        <v>81.64</v>
      </c>
      <c r="D472" s="46" t="s">
        <v>10</v>
      </c>
      <c r="G472" s="47">
        <f t="shared" si="13"/>
        <v>13611.259999999993</v>
      </c>
      <c r="H472" t="b">
        <f>Table_15[[#This Row],[Temps d''achat]]&gt;9.3</f>
        <v>0</v>
      </c>
      <c r="I472" t="b">
        <f>Table_15[[#This Row],[Temps d''achat]]&lt;4</f>
        <v>0</v>
      </c>
    </row>
    <row r="473" spans="1:9" x14ac:dyDescent="0.35">
      <c r="A473" s="39">
        <v>40</v>
      </c>
      <c r="B473" s="40">
        <v>9.2100000000000009</v>
      </c>
      <c r="C473" s="41">
        <v>67.63</v>
      </c>
      <c r="D473" s="42" t="s">
        <v>10</v>
      </c>
      <c r="G473" s="47">
        <f t="shared" si="12"/>
        <v>13649.709999999994</v>
      </c>
      <c r="H473" t="b">
        <f>Table_15[[#This Row],[Temps d''achat]]&gt;9.3</f>
        <v>0</v>
      </c>
      <c r="I473" t="b">
        <f>Table_15[[#This Row],[Temps d''achat]]&lt;4</f>
        <v>0</v>
      </c>
    </row>
    <row r="474" spans="1:9" x14ac:dyDescent="0.35">
      <c r="A474" s="43">
        <v>41</v>
      </c>
      <c r="B474" s="44">
        <v>4.6399999999999997</v>
      </c>
      <c r="C474" s="45">
        <v>38.450000000000003</v>
      </c>
      <c r="D474" s="46" t="s">
        <v>10</v>
      </c>
      <c r="G474" s="47">
        <f t="shared" si="13"/>
        <v>13702.109999999993</v>
      </c>
      <c r="H474" t="b">
        <f>Table_15[[#This Row],[Temps d''achat]]&gt;9.3</f>
        <v>0</v>
      </c>
      <c r="I474" t="b">
        <f>Table_15[[#This Row],[Temps d''achat]]&lt;4</f>
        <v>0</v>
      </c>
    </row>
    <row r="475" spans="1:9" x14ac:dyDescent="0.35">
      <c r="A475" s="39">
        <v>31</v>
      </c>
      <c r="B475" s="40">
        <v>7.46</v>
      </c>
      <c r="C475" s="41">
        <v>52.4</v>
      </c>
      <c r="D475" s="42" t="s">
        <v>10</v>
      </c>
      <c r="G475" s="47">
        <f t="shared" si="12"/>
        <v>13730.269999999993</v>
      </c>
      <c r="H475" t="b">
        <f>Table_15[[#This Row],[Temps d''achat]]&gt;9.3</f>
        <v>0</v>
      </c>
      <c r="I475" t="b">
        <f>Table_15[[#This Row],[Temps d''achat]]&lt;4</f>
        <v>0</v>
      </c>
    </row>
    <row r="476" spans="1:9" x14ac:dyDescent="0.35">
      <c r="A476" s="43">
        <v>57</v>
      </c>
      <c r="B476" s="44">
        <v>5.85</v>
      </c>
      <c r="C476" s="45">
        <v>28.16</v>
      </c>
      <c r="D476" s="46" t="s">
        <v>10</v>
      </c>
      <c r="G476" s="47">
        <f t="shared" si="13"/>
        <v>13772.529999999993</v>
      </c>
      <c r="H476" t="b">
        <f>Table_15[[#This Row],[Temps d''achat]]&gt;9.3</f>
        <v>0</v>
      </c>
      <c r="I476" t="b">
        <f>Table_15[[#This Row],[Temps d''achat]]&lt;4</f>
        <v>0</v>
      </c>
    </row>
    <row r="477" spans="1:9" x14ac:dyDescent="0.35">
      <c r="A477" s="39">
        <v>43</v>
      </c>
      <c r="B477" s="40">
        <v>6.23</v>
      </c>
      <c r="C477" s="41">
        <v>42.26</v>
      </c>
      <c r="D477" s="42" t="s">
        <v>10</v>
      </c>
      <c r="G477" s="47">
        <f t="shared" si="12"/>
        <v>13822.859999999993</v>
      </c>
      <c r="H477" t="b">
        <f>Table_15[[#This Row],[Temps d''achat]]&gt;9.3</f>
        <v>0</v>
      </c>
      <c r="I477" t="b">
        <f>Table_15[[#This Row],[Temps d''achat]]&lt;4</f>
        <v>0</v>
      </c>
    </row>
    <row r="478" spans="1:9" x14ac:dyDescent="0.35">
      <c r="A478" s="43">
        <v>24</v>
      </c>
      <c r="B478" s="44">
        <v>6.46</v>
      </c>
      <c r="C478" s="45">
        <v>50.33</v>
      </c>
      <c r="D478" s="46" t="s">
        <v>10</v>
      </c>
      <c r="G478" s="47">
        <f t="shared" si="13"/>
        <v>13872.659999999993</v>
      </c>
      <c r="H478" t="b">
        <f>Table_15[[#This Row],[Temps d''achat]]&gt;9.3</f>
        <v>0</v>
      </c>
      <c r="I478" t="b">
        <f>Table_15[[#This Row],[Temps d''achat]]&lt;4</f>
        <v>0</v>
      </c>
    </row>
    <row r="479" spans="1:9" x14ac:dyDescent="0.35">
      <c r="A479" s="39">
        <v>32</v>
      </c>
      <c r="B479" s="40">
        <v>7.48</v>
      </c>
      <c r="C479" s="41">
        <v>49.8</v>
      </c>
      <c r="D479" s="42" t="s">
        <v>10</v>
      </c>
      <c r="G479" s="47">
        <f t="shared" si="12"/>
        <v>13883.619999999992</v>
      </c>
      <c r="H479" t="b">
        <f>Table_15[[#This Row],[Temps d''achat]]&gt;9.3</f>
        <v>0</v>
      </c>
      <c r="I479" t="b">
        <f>Table_15[[#This Row],[Temps d''achat]]&lt;4</f>
        <v>0</v>
      </c>
    </row>
    <row r="480" spans="1:9" x14ac:dyDescent="0.35">
      <c r="A480" s="43">
        <v>48</v>
      </c>
      <c r="B480" s="44">
        <v>5.93</v>
      </c>
      <c r="C480" s="45">
        <v>10.96</v>
      </c>
      <c r="D480" s="46" t="s">
        <v>10</v>
      </c>
      <c r="G480" s="47">
        <f t="shared" si="13"/>
        <v>13919.149999999992</v>
      </c>
      <c r="H480" t="b">
        <f>Table_15[[#This Row],[Temps d''achat]]&gt;9.3</f>
        <v>0</v>
      </c>
      <c r="I480" t="b">
        <f>Table_15[[#This Row],[Temps d''achat]]&lt;4</f>
        <v>0</v>
      </c>
    </row>
    <row r="481" spans="1:9" x14ac:dyDescent="0.35">
      <c r="A481" s="39">
        <v>51</v>
      </c>
      <c r="B481" s="40">
        <v>4.96</v>
      </c>
      <c r="C481" s="41">
        <v>35.53</v>
      </c>
      <c r="D481" s="42" t="s">
        <v>10</v>
      </c>
      <c r="G481" s="47">
        <f t="shared" si="12"/>
        <v>13941.129999999992</v>
      </c>
      <c r="H481" t="b">
        <f>Table_15[[#This Row],[Temps d''achat]]&gt;9.3</f>
        <v>0</v>
      </c>
      <c r="I481" t="b">
        <f>Table_15[[#This Row],[Temps d''achat]]&lt;4</f>
        <v>0</v>
      </c>
    </row>
    <row r="482" spans="1:9" x14ac:dyDescent="0.35">
      <c r="A482" s="43">
        <v>7</v>
      </c>
      <c r="B482" s="44">
        <v>4.0599999999999996</v>
      </c>
      <c r="C482" s="45">
        <v>21.98</v>
      </c>
      <c r="D482" s="46" t="s">
        <v>10</v>
      </c>
      <c r="G482" s="47">
        <f t="shared" si="13"/>
        <v>13961.969999999992</v>
      </c>
      <c r="H482" t="b">
        <f>Table_15[[#This Row],[Temps d''achat]]&gt;9.3</f>
        <v>0</v>
      </c>
      <c r="I482" t="b">
        <f>Table_15[[#This Row],[Temps d''achat]]&lt;4</f>
        <v>0</v>
      </c>
    </row>
    <row r="483" spans="1:9" x14ac:dyDescent="0.35">
      <c r="A483" s="39">
        <v>29</v>
      </c>
      <c r="B483" s="40">
        <v>4.1500000000000004</v>
      </c>
      <c r="C483" s="41">
        <v>20.84</v>
      </c>
      <c r="D483" s="42" t="s">
        <v>10</v>
      </c>
      <c r="G483" s="47">
        <f t="shared" si="12"/>
        <v>13995.939999999991</v>
      </c>
      <c r="H483" t="b">
        <f>Table_15[[#This Row],[Temps d''achat]]&gt;9.3</f>
        <v>0</v>
      </c>
      <c r="I483" t="b">
        <f>Table_15[[#This Row],[Temps d''achat]]&lt;4</f>
        <v>0</v>
      </c>
    </row>
    <row r="484" spans="1:9" x14ac:dyDescent="0.35">
      <c r="A484" s="43">
        <v>32</v>
      </c>
      <c r="B484" s="44">
        <v>4.3099999999999996</v>
      </c>
      <c r="C484" s="45">
        <v>33.97</v>
      </c>
      <c r="D484" s="46" t="s">
        <v>10</v>
      </c>
      <c r="G484" s="47">
        <f t="shared" si="13"/>
        <v>14044.119999999992</v>
      </c>
      <c r="H484" t="b">
        <f>Table_15[[#This Row],[Temps d''achat]]&gt;9.3</f>
        <v>0</v>
      </c>
      <c r="I484" t="b">
        <f>Table_15[[#This Row],[Temps d''achat]]&lt;4</f>
        <v>0</v>
      </c>
    </row>
    <row r="485" spans="1:9" x14ac:dyDescent="0.35">
      <c r="A485" s="39">
        <v>39</v>
      </c>
      <c r="B485" s="40">
        <v>7.07</v>
      </c>
      <c r="C485" s="41">
        <v>48.18</v>
      </c>
      <c r="D485" s="42" t="s">
        <v>10</v>
      </c>
      <c r="G485" s="47">
        <f t="shared" si="12"/>
        <v>14111.079999999991</v>
      </c>
      <c r="H485" t="b">
        <f>Table_15[[#This Row],[Temps d''achat]]&gt;9.3</f>
        <v>0</v>
      </c>
      <c r="I485" t="b">
        <f>Table_15[[#This Row],[Temps d''achat]]&lt;4</f>
        <v>0</v>
      </c>
    </row>
    <row r="486" spans="1:9" x14ac:dyDescent="0.35">
      <c r="A486" s="43">
        <v>37</v>
      </c>
      <c r="B486" s="44">
        <v>6.64</v>
      </c>
      <c r="C486" s="45">
        <v>66.959999999999994</v>
      </c>
      <c r="D486" s="46" t="s">
        <v>10</v>
      </c>
      <c r="G486" s="47">
        <f t="shared" si="13"/>
        <v>14176.439999999991</v>
      </c>
      <c r="H486" t="b">
        <f>Table_15[[#This Row],[Temps d''achat]]&gt;9.3</f>
        <v>0</v>
      </c>
      <c r="I486" t="b">
        <f>Table_15[[#This Row],[Temps d''achat]]&lt;4</f>
        <v>0</v>
      </c>
    </row>
    <row r="487" spans="1:9" x14ac:dyDescent="0.35">
      <c r="A487" s="39">
        <v>15</v>
      </c>
      <c r="B487" s="40">
        <v>4.62</v>
      </c>
      <c r="C487" s="41">
        <v>65.36</v>
      </c>
      <c r="D487" s="42" t="s">
        <v>10</v>
      </c>
      <c r="G487" s="47">
        <f t="shared" si="12"/>
        <v>14202.119999999992</v>
      </c>
      <c r="H487" t="b">
        <f>Table_15[[#This Row],[Temps d''achat]]&gt;9.3</f>
        <v>0</v>
      </c>
      <c r="I487" t="b">
        <f>Table_15[[#This Row],[Temps d''achat]]&lt;4</f>
        <v>0</v>
      </c>
    </row>
    <row r="488" spans="1:9" x14ac:dyDescent="0.35">
      <c r="A488" s="43">
        <v>52</v>
      </c>
      <c r="B488" s="44">
        <v>4.03</v>
      </c>
      <c r="C488" s="45">
        <v>25.68</v>
      </c>
      <c r="D488" s="46" t="s">
        <v>10</v>
      </c>
      <c r="G488" s="47">
        <f t="shared" si="13"/>
        <v>14255.629999999992</v>
      </c>
      <c r="H488" t="b">
        <f>Table_15[[#This Row],[Temps d''achat]]&gt;9.3</f>
        <v>0</v>
      </c>
      <c r="I488" t="b">
        <f>Table_15[[#This Row],[Temps d''achat]]&lt;4</f>
        <v>0</v>
      </c>
    </row>
    <row r="489" spans="1:9" x14ac:dyDescent="0.35">
      <c r="A489" s="39">
        <v>23</v>
      </c>
      <c r="B489" s="40">
        <v>8.9700000000000006</v>
      </c>
      <c r="C489" s="41">
        <v>53.51</v>
      </c>
      <c r="D489" s="42" t="s">
        <v>10</v>
      </c>
      <c r="G489" s="47">
        <f t="shared" si="12"/>
        <v>14348.509999999991</v>
      </c>
      <c r="H489" t="b">
        <f>Table_15[[#This Row],[Temps d''achat]]&gt;9.3</f>
        <v>0</v>
      </c>
      <c r="I489" t="b">
        <f>Table_15[[#This Row],[Temps d''achat]]&lt;4</f>
        <v>0</v>
      </c>
    </row>
    <row r="490" spans="1:9" x14ac:dyDescent="0.35">
      <c r="A490" s="43">
        <v>50</v>
      </c>
      <c r="B490" s="44">
        <v>5.21</v>
      </c>
      <c r="C490" s="45">
        <v>92.88</v>
      </c>
      <c r="D490" s="46" t="s">
        <v>10</v>
      </c>
      <c r="G490" s="47">
        <f t="shared" si="13"/>
        <v>14410.13999999999</v>
      </c>
      <c r="H490" t="b">
        <f>Table_15[[#This Row],[Temps d''achat]]&gt;9.3</f>
        <v>0</v>
      </c>
      <c r="I490" t="b">
        <f>Table_15[[#This Row],[Temps d''achat]]&lt;4</f>
        <v>0</v>
      </c>
    </row>
    <row r="491" spans="1:9" x14ac:dyDescent="0.35">
      <c r="A491" s="39">
        <v>17</v>
      </c>
      <c r="B491" s="40">
        <v>7.93</v>
      </c>
      <c r="C491" s="41">
        <v>61.63</v>
      </c>
      <c r="D491" s="42" t="s">
        <v>10</v>
      </c>
      <c r="G491" s="47">
        <f t="shared" si="12"/>
        <v>14448.009999999991</v>
      </c>
      <c r="H491" t="b">
        <f>Table_15[[#This Row],[Temps d''achat]]&gt;9.3</f>
        <v>0</v>
      </c>
      <c r="I491" t="b">
        <f>Table_15[[#This Row],[Temps d''achat]]&lt;4</f>
        <v>0</v>
      </c>
    </row>
    <row r="492" spans="1:9" x14ac:dyDescent="0.35">
      <c r="A492" s="43">
        <v>19</v>
      </c>
      <c r="B492" s="44">
        <v>4.12</v>
      </c>
      <c r="C492" s="45">
        <v>37.869999999999997</v>
      </c>
      <c r="D492" s="46" t="s">
        <v>10</v>
      </c>
      <c r="G492" s="47">
        <f t="shared" si="13"/>
        <v>14472.619999999992</v>
      </c>
      <c r="H492" t="b">
        <f>Table_15[[#This Row],[Temps d''achat]]&gt;9.3</f>
        <v>0</v>
      </c>
      <c r="I492" t="b">
        <f>Table_15[[#This Row],[Temps d''achat]]&lt;4</f>
        <v>0</v>
      </c>
    </row>
    <row r="493" spans="1:9" x14ac:dyDescent="0.35">
      <c r="A493" s="39">
        <v>8</v>
      </c>
      <c r="B493" s="40">
        <v>4.62</v>
      </c>
      <c r="C493" s="41">
        <v>24.61</v>
      </c>
      <c r="D493" s="42" t="s">
        <v>10</v>
      </c>
      <c r="G493" s="47">
        <f t="shared" si="12"/>
        <v>14513.409999999993</v>
      </c>
      <c r="H493" t="b">
        <f>Table_15[[#This Row],[Temps d''achat]]&gt;9.3</f>
        <v>0</v>
      </c>
      <c r="I493" t="b">
        <f>Table_15[[#This Row],[Temps d''achat]]&lt;4</f>
        <v>0</v>
      </c>
    </row>
    <row r="494" spans="1:9" x14ac:dyDescent="0.35">
      <c r="A494" s="43">
        <v>4</v>
      </c>
      <c r="B494" s="44">
        <v>7.06</v>
      </c>
      <c r="C494" s="45">
        <v>40.79</v>
      </c>
      <c r="D494" s="46" t="s">
        <v>10</v>
      </c>
      <c r="G494" s="47">
        <f t="shared" si="13"/>
        <v>14607.669999999993</v>
      </c>
      <c r="H494" t="b">
        <f>Table_15[[#This Row],[Temps d''achat]]&gt;9.3</f>
        <v>0</v>
      </c>
      <c r="I494" t="b">
        <f>Table_15[[#This Row],[Temps d''achat]]&lt;4</f>
        <v>0</v>
      </c>
    </row>
    <row r="495" spans="1:9" x14ac:dyDescent="0.35">
      <c r="A495" s="39">
        <v>3</v>
      </c>
      <c r="B495" s="40">
        <v>9.23</v>
      </c>
      <c r="C495" s="41">
        <v>94.26</v>
      </c>
      <c r="D495" s="42" t="s">
        <v>10</v>
      </c>
      <c r="G495" s="47">
        <f t="shared" ref="G495:G557" si="14">G494+C496</f>
        <v>14691.929999999993</v>
      </c>
      <c r="H495" t="b">
        <f>Table_15[[#This Row],[Temps d''achat]]&gt;9.3</f>
        <v>0</v>
      </c>
      <c r="I495" t="b">
        <f>Table_15[[#This Row],[Temps d''achat]]&lt;4</f>
        <v>0</v>
      </c>
    </row>
    <row r="496" spans="1:9" x14ac:dyDescent="0.35">
      <c r="A496" s="43">
        <v>57</v>
      </c>
      <c r="B496" s="44">
        <v>5.96</v>
      </c>
      <c r="C496" s="45">
        <v>84.26</v>
      </c>
      <c r="D496" s="46" t="s">
        <v>10</v>
      </c>
      <c r="G496" s="47">
        <f t="shared" ref="G496:G558" si="15">C497+G495</f>
        <v>14769.289999999994</v>
      </c>
      <c r="H496" t="b">
        <f>Table_15[[#This Row],[Temps d''achat]]&gt;9.3</f>
        <v>0</v>
      </c>
      <c r="I496" t="b">
        <f>Table_15[[#This Row],[Temps d''achat]]&lt;4</f>
        <v>0</v>
      </c>
    </row>
    <row r="497" spans="1:9" x14ac:dyDescent="0.35">
      <c r="A497" s="39">
        <v>30</v>
      </c>
      <c r="B497" s="40">
        <v>9.24</v>
      </c>
      <c r="C497" s="41">
        <v>77.36</v>
      </c>
      <c r="D497" s="42" t="s">
        <v>10</v>
      </c>
      <c r="G497" s="47">
        <f t="shared" si="14"/>
        <v>14809.439999999993</v>
      </c>
      <c r="H497" t="b">
        <f>Table_15[[#This Row],[Temps d''achat]]&gt;9.3</f>
        <v>0</v>
      </c>
      <c r="I497" t="b">
        <f>Table_15[[#This Row],[Temps d''achat]]&lt;4</f>
        <v>0</v>
      </c>
    </row>
    <row r="498" spans="1:9" x14ac:dyDescent="0.35">
      <c r="A498" s="43">
        <v>7</v>
      </c>
      <c r="B498" s="44">
        <v>5.84</v>
      </c>
      <c r="C498" s="45">
        <v>40.15</v>
      </c>
      <c r="D498" s="46" t="s">
        <v>10</v>
      </c>
      <c r="G498" s="47">
        <f t="shared" si="15"/>
        <v>14845.639999999994</v>
      </c>
      <c r="H498" t="b">
        <f>Table_15[[#This Row],[Temps d''achat]]&gt;9.3</f>
        <v>0</v>
      </c>
      <c r="I498" t="b">
        <f>Table_15[[#This Row],[Temps d''achat]]&lt;4</f>
        <v>0</v>
      </c>
    </row>
    <row r="499" spans="1:9" x14ac:dyDescent="0.35">
      <c r="A499" s="39">
        <v>24</v>
      </c>
      <c r="B499" s="40">
        <v>4.66</v>
      </c>
      <c r="C499" s="41">
        <v>36.200000000000003</v>
      </c>
      <c r="D499" s="42" t="s">
        <v>10</v>
      </c>
      <c r="G499" s="47">
        <f t="shared" si="14"/>
        <v>14900.129999999994</v>
      </c>
      <c r="H499" t="b">
        <f>Table_15[[#This Row],[Temps d''achat]]&gt;9.3</f>
        <v>0</v>
      </c>
      <c r="I499" t="b">
        <f>Table_15[[#This Row],[Temps d''achat]]&lt;4</f>
        <v>0</v>
      </c>
    </row>
    <row r="500" spans="1:9" x14ac:dyDescent="0.35">
      <c r="A500" s="43">
        <v>27</v>
      </c>
      <c r="B500" s="44">
        <v>8.41</v>
      </c>
      <c r="C500" s="45">
        <v>54.49</v>
      </c>
      <c r="D500" s="46" t="s">
        <v>10</v>
      </c>
      <c r="G500" s="47">
        <f t="shared" si="15"/>
        <v>14978.709999999994</v>
      </c>
      <c r="H500" t="b">
        <f>Table_15[[#This Row],[Temps d''achat]]&gt;9.3</f>
        <v>0</v>
      </c>
      <c r="I500" t="b">
        <f>Table_15[[#This Row],[Temps d''achat]]&lt;4</f>
        <v>0</v>
      </c>
    </row>
    <row r="501" spans="1:9" x14ac:dyDescent="0.35">
      <c r="A501" s="39">
        <v>21</v>
      </c>
      <c r="B501" s="40">
        <v>9.15</v>
      </c>
      <c r="C501" s="41">
        <v>78.58</v>
      </c>
      <c r="D501" s="42" t="s">
        <v>10</v>
      </c>
      <c r="G501" s="47">
        <f t="shared" si="14"/>
        <v>15039.989999999994</v>
      </c>
      <c r="H501" t="b">
        <f>Table_15[[#This Row],[Temps d''achat]]&gt;9.3</f>
        <v>0</v>
      </c>
      <c r="I501" t="b">
        <f>Table_15[[#This Row],[Temps d''achat]]&lt;4</f>
        <v>0</v>
      </c>
    </row>
    <row r="502" spans="1:9" x14ac:dyDescent="0.35">
      <c r="A502" s="43">
        <v>13</v>
      </c>
      <c r="B502" s="44">
        <v>5.67</v>
      </c>
      <c r="C502" s="45">
        <v>61.28</v>
      </c>
      <c r="D502" s="46" t="s">
        <v>10</v>
      </c>
      <c r="G502" s="47">
        <f t="shared" si="15"/>
        <v>15108.109999999995</v>
      </c>
      <c r="H502" t="b">
        <f>Table_15[[#This Row],[Temps d''achat]]&gt;9.3</f>
        <v>0</v>
      </c>
      <c r="I502" t="b">
        <f>Table_15[[#This Row],[Temps d''achat]]&lt;4</f>
        <v>0</v>
      </c>
    </row>
    <row r="503" spans="1:9" x14ac:dyDescent="0.35">
      <c r="A503" s="39">
        <v>15</v>
      </c>
      <c r="B503" s="40">
        <v>5.59</v>
      </c>
      <c r="C503" s="41">
        <v>68.12</v>
      </c>
      <c r="D503" s="42" t="s">
        <v>10</v>
      </c>
      <c r="G503" s="47">
        <f t="shared" si="14"/>
        <v>15160.179999999995</v>
      </c>
      <c r="H503" t="b">
        <f>Table_15[[#This Row],[Temps d''achat]]&gt;9.3</f>
        <v>0</v>
      </c>
      <c r="I503" t="b">
        <f>Table_15[[#This Row],[Temps d''achat]]&lt;4</f>
        <v>0</v>
      </c>
    </row>
    <row r="504" spans="1:9" x14ac:dyDescent="0.35">
      <c r="A504" s="43">
        <v>17</v>
      </c>
      <c r="B504" s="44">
        <v>9.1</v>
      </c>
      <c r="C504" s="45">
        <v>52.07</v>
      </c>
      <c r="D504" s="46" t="s">
        <v>10</v>
      </c>
      <c r="G504" s="47">
        <f t="shared" si="15"/>
        <v>15215.109999999995</v>
      </c>
      <c r="H504" t="b">
        <f>Table_15[[#This Row],[Temps d''achat]]&gt;9.3</f>
        <v>0</v>
      </c>
      <c r="I504" t="b">
        <f>Table_15[[#This Row],[Temps d''achat]]&lt;4</f>
        <v>0</v>
      </c>
    </row>
    <row r="505" spans="1:9" x14ac:dyDescent="0.35">
      <c r="A505" s="39">
        <v>32</v>
      </c>
      <c r="B505" s="40">
        <v>6.24</v>
      </c>
      <c r="C505" s="41">
        <v>54.93</v>
      </c>
      <c r="D505" s="42" t="s">
        <v>10</v>
      </c>
      <c r="G505" s="47">
        <f t="shared" si="14"/>
        <v>15280.949999999995</v>
      </c>
      <c r="H505" t="b">
        <f>Table_15[[#This Row],[Temps d''achat]]&gt;9.3</f>
        <v>0</v>
      </c>
      <c r="I505" t="b">
        <f>Table_15[[#This Row],[Temps d''achat]]&lt;4</f>
        <v>0</v>
      </c>
    </row>
    <row r="506" spans="1:9" x14ac:dyDescent="0.35">
      <c r="A506" s="43">
        <v>22</v>
      </c>
      <c r="B506" s="44">
        <v>8.1</v>
      </c>
      <c r="C506" s="45">
        <v>65.84</v>
      </c>
      <c r="D506" s="46" t="s">
        <v>10</v>
      </c>
      <c r="G506" s="47">
        <f t="shared" si="15"/>
        <v>15328.169999999995</v>
      </c>
      <c r="H506" t="b">
        <f>Table_15[[#This Row],[Temps d''achat]]&gt;9.3</f>
        <v>0</v>
      </c>
      <c r="I506" t="b">
        <f>Table_15[[#This Row],[Temps d''achat]]&lt;4</f>
        <v>0</v>
      </c>
    </row>
    <row r="507" spans="1:9" x14ac:dyDescent="0.35">
      <c r="A507" s="39">
        <v>42</v>
      </c>
      <c r="B507" s="40">
        <v>5.61</v>
      </c>
      <c r="C507" s="41">
        <v>47.22</v>
      </c>
      <c r="D507" s="42" t="s">
        <v>10</v>
      </c>
      <c r="G507" s="47">
        <f t="shared" si="14"/>
        <v>15362.639999999994</v>
      </c>
      <c r="H507" t="b">
        <f>Table_15[[#This Row],[Temps d''achat]]&gt;9.3</f>
        <v>0</v>
      </c>
      <c r="I507" t="b">
        <f>Table_15[[#This Row],[Temps d''achat]]&lt;4</f>
        <v>0</v>
      </c>
    </row>
    <row r="508" spans="1:9" x14ac:dyDescent="0.35">
      <c r="A508" s="43">
        <v>25</v>
      </c>
      <c r="B508" s="44">
        <v>5.48</v>
      </c>
      <c r="C508" s="45">
        <v>34.47</v>
      </c>
      <c r="D508" s="46" t="s">
        <v>10</v>
      </c>
      <c r="G508" s="47">
        <f t="shared" si="15"/>
        <v>15406.189999999993</v>
      </c>
      <c r="H508" t="b">
        <f>Table_15[[#This Row],[Temps d''achat]]&gt;9.3</f>
        <v>0</v>
      </c>
      <c r="I508" t="b">
        <f>Table_15[[#This Row],[Temps d''achat]]&lt;4</f>
        <v>0</v>
      </c>
    </row>
    <row r="509" spans="1:9" x14ac:dyDescent="0.35">
      <c r="A509" s="39">
        <v>10</v>
      </c>
      <c r="B509" s="40">
        <v>4.26</v>
      </c>
      <c r="C509" s="41">
        <v>43.55</v>
      </c>
      <c r="D509" s="42" t="s">
        <v>10</v>
      </c>
      <c r="G509" s="47">
        <f t="shared" si="14"/>
        <v>15538.919999999993</v>
      </c>
      <c r="H509" t="b">
        <f>Table_15[[#This Row],[Temps d''achat]]&gt;9.3</f>
        <v>0</v>
      </c>
      <c r="I509" t="b">
        <f>Table_15[[#This Row],[Temps d''achat]]&lt;4</f>
        <v>0</v>
      </c>
    </row>
    <row r="510" spans="1:9" x14ac:dyDescent="0.35">
      <c r="A510" s="43">
        <v>26</v>
      </c>
      <c r="B510" s="44">
        <v>9.68</v>
      </c>
      <c r="C510" s="53">
        <v>132.72999999999999</v>
      </c>
      <c r="D510" s="46" t="s">
        <v>10</v>
      </c>
      <c r="G510" s="47">
        <f t="shared" si="15"/>
        <v>15611.269999999993</v>
      </c>
      <c r="H510" t="b">
        <f>Table_15[[#This Row],[Temps d''achat]]&gt;9.3</f>
        <v>1</v>
      </c>
      <c r="I510" t="b">
        <f>Table_15[[#This Row],[Temps d''achat]]&lt;4</f>
        <v>0</v>
      </c>
    </row>
    <row r="511" spans="1:9" x14ac:dyDescent="0.35">
      <c r="A511" s="39">
        <v>4</v>
      </c>
      <c r="B511" s="40">
        <v>9.86</v>
      </c>
      <c r="C511" s="52">
        <v>72.349999999999994</v>
      </c>
      <c r="D511" s="42" t="s">
        <v>10</v>
      </c>
      <c r="G511" s="47">
        <f t="shared" si="14"/>
        <v>15673.909999999993</v>
      </c>
      <c r="H511" t="b">
        <f>Table_15[[#This Row],[Temps d''achat]]&gt;9.3</f>
        <v>1</v>
      </c>
      <c r="I511" t="b">
        <f>Table_15[[#This Row],[Temps d''achat]]&lt;4</f>
        <v>0</v>
      </c>
    </row>
    <row r="512" spans="1:9" x14ac:dyDescent="0.35">
      <c r="A512" s="43">
        <v>25</v>
      </c>
      <c r="B512" s="44">
        <v>4.88</v>
      </c>
      <c r="C512" s="45">
        <v>62.64</v>
      </c>
      <c r="D512" s="46" t="s">
        <v>10</v>
      </c>
      <c r="G512" s="47">
        <f t="shared" si="15"/>
        <v>15740.979999999992</v>
      </c>
      <c r="H512" t="b">
        <f>Table_15[[#This Row],[Temps d''achat]]&gt;9.3</f>
        <v>0</v>
      </c>
      <c r="I512" t="b">
        <f>Table_15[[#This Row],[Temps d''achat]]&lt;4</f>
        <v>0</v>
      </c>
    </row>
    <row r="513" spans="1:9" x14ac:dyDescent="0.35">
      <c r="A513" s="39">
        <v>54</v>
      </c>
      <c r="B513" s="40">
        <v>9.6199999999999992</v>
      </c>
      <c r="C513" s="52">
        <v>67.069999999999993</v>
      </c>
      <c r="D513" s="42" t="s">
        <v>10</v>
      </c>
      <c r="G513" s="47">
        <f t="shared" si="14"/>
        <v>15802.479999999992</v>
      </c>
      <c r="H513" t="b">
        <f>Table_15[[#This Row],[Temps d''achat]]&gt;9.3</f>
        <v>1</v>
      </c>
      <c r="I513" t="b">
        <f>Table_15[[#This Row],[Temps d''achat]]&lt;4</f>
        <v>0</v>
      </c>
    </row>
    <row r="514" spans="1:9" x14ac:dyDescent="0.35">
      <c r="A514" s="43">
        <v>25</v>
      </c>
      <c r="B514" s="44">
        <v>6.28</v>
      </c>
      <c r="C514" s="45">
        <v>61.5</v>
      </c>
      <c r="D514" s="46" t="s">
        <v>10</v>
      </c>
      <c r="G514" s="47">
        <f t="shared" si="15"/>
        <v>15860.309999999992</v>
      </c>
      <c r="H514" t="b">
        <f>Table_15[[#This Row],[Temps d''achat]]&gt;9.3</f>
        <v>0</v>
      </c>
      <c r="I514" t="b">
        <f>Table_15[[#This Row],[Temps d''achat]]&lt;4</f>
        <v>0</v>
      </c>
    </row>
    <row r="515" spans="1:9" x14ac:dyDescent="0.35">
      <c r="A515" s="39">
        <v>21</v>
      </c>
      <c r="B515" s="40">
        <v>9.58</v>
      </c>
      <c r="C515" s="52">
        <v>57.83</v>
      </c>
      <c r="D515" s="42" t="s">
        <v>10</v>
      </c>
      <c r="G515" s="47">
        <f t="shared" si="14"/>
        <v>15927.539999999992</v>
      </c>
      <c r="H515" t="b">
        <f>Table_15[[#This Row],[Temps d''achat]]&gt;9.3</f>
        <v>1</v>
      </c>
      <c r="I515" t="b">
        <f>Table_15[[#This Row],[Temps d''achat]]&lt;4</f>
        <v>0</v>
      </c>
    </row>
    <row r="516" spans="1:9" x14ac:dyDescent="0.35">
      <c r="A516" s="43">
        <v>22</v>
      </c>
      <c r="B516" s="44">
        <v>5.79</v>
      </c>
      <c r="C516" s="45">
        <v>67.23</v>
      </c>
      <c r="D516" s="46" t="s">
        <v>10</v>
      </c>
      <c r="G516" s="47">
        <f t="shared" si="15"/>
        <v>15986.769999999991</v>
      </c>
      <c r="H516" t="b">
        <f>Table_15[[#This Row],[Temps d''achat]]&gt;9.3</f>
        <v>0</v>
      </c>
      <c r="I516" t="b">
        <f>Table_15[[#This Row],[Temps d''achat]]&lt;4</f>
        <v>0</v>
      </c>
    </row>
    <row r="517" spans="1:9" x14ac:dyDescent="0.35">
      <c r="A517" s="39">
        <v>25</v>
      </c>
      <c r="B517" s="40">
        <v>6.25</v>
      </c>
      <c r="C517" s="41">
        <v>59.23</v>
      </c>
      <c r="D517" s="42" t="s">
        <v>10</v>
      </c>
      <c r="G517" s="47">
        <f t="shared" si="14"/>
        <v>16017.579999999991</v>
      </c>
      <c r="H517" t="b">
        <f>Table_15[[#This Row],[Temps d''achat]]&gt;9.3</f>
        <v>0</v>
      </c>
      <c r="I517" t="b">
        <f>Table_15[[#This Row],[Temps d''achat]]&lt;4</f>
        <v>0</v>
      </c>
    </row>
    <row r="518" spans="1:9" x14ac:dyDescent="0.35">
      <c r="A518" s="43">
        <v>9</v>
      </c>
      <c r="B518" s="44">
        <v>4.46</v>
      </c>
      <c r="C518" s="45">
        <v>30.81</v>
      </c>
      <c r="D518" s="46" t="s">
        <v>10</v>
      </c>
      <c r="G518" s="47">
        <f t="shared" si="15"/>
        <v>16094.279999999992</v>
      </c>
      <c r="H518" t="b">
        <f>Table_15[[#This Row],[Temps d''achat]]&gt;9.3</f>
        <v>0</v>
      </c>
      <c r="I518" t="b">
        <f>Table_15[[#This Row],[Temps d''achat]]&lt;4</f>
        <v>0</v>
      </c>
    </row>
    <row r="519" spans="1:9" x14ac:dyDescent="0.35">
      <c r="A519" s="39">
        <v>24</v>
      </c>
      <c r="B519" s="40">
        <v>6.56</v>
      </c>
      <c r="C519" s="41">
        <v>76.7</v>
      </c>
      <c r="D519" s="42" t="s">
        <v>10</v>
      </c>
      <c r="G519" s="47">
        <f t="shared" si="14"/>
        <v>16160.839999999991</v>
      </c>
      <c r="H519" t="b">
        <f>Table_15[[#This Row],[Temps d''achat]]&gt;9.3</f>
        <v>0</v>
      </c>
      <c r="I519" t="b">
        <f>Table_15[[#This Row],[Temps d''achat]]&lt;4</f>
        <v>0</v>
      </c>
    </row>
    <row r="520" spans="1:9" x14ac:dyDescent="0.35">
      <c r="A520" s="43">
        <v>40</v>
      </c>
      <c r="B520" s="44">
        <v>8.6999999999999993</v>
      </c>
      <c r="C520" s="45">
        <v>66.56</v>
      </c>
      <c r="D520" s="46" t="s">
        <v>10</v>
      </c>
      <c r="G520" s="47">
        <f t="shared" si="15"/>
        <v>16202.96999999999</v>
      </c>
      <c r="H520" t="b">
        <f>Table_15[[#This Row],[Temps d''achat]]&gt;9.3</f>
        <v>0</v>
      </c>
      <c r="I520" t="b">
        <f>Table_15[[#This Row],[Temps d''achat]]&lt;4</f>
        <v>0</v>
      </c>
    </row>
    <row r="521" spans="1:9" x14ac:dyDescent="0.35">
      <c r="A521" s="39">
        <v>42</v>
      </c>
      <c r="B521" s="40">
        <v>8.68</v>
      </c>
      <c r="C521" s="41">
        <v>42.13</v>
      </c>
      <c r="D521" s="42" t="s">
        <v>10</v>
      </c>
      <c r="G521" s="47">
        <f t="shared" si="14"/>
        <v>16270.839999999991</v>
      </c>
      <c r="H521" t="b">
        <f>Table_15[[#This Row],[Temps d''achat]]&gt;9.3</f>
        <v>0</v>
      </c>
      <c r="I521" t="b">
        <f>Table_15[[#This Row],[Temps d''achat]]&lt;4</f>
        <v>0</v>
      </c>
    </row>
    <row r="522" spans="1:9" x14ac:dyDescent="0.35">
      <c r="A522" s="43">
        <v>25</v>
      </c>
      <c r="B522" s="44">
        <v>4.78</v>
      </c>
      <c r="C522" s="45">
        <v>67.87</v>
      </c>
      <c r="D522" s="46" t="s">
        <v>10</v>
      </c>
      <c r="G522" s="47">
        <f t="shared" si="15"/>
        <v>16306.099999999991</v>
      </c>
      <c r="H522" t="b">
        <f>Table_15[[#This Row],[Temps d''achat]]&gt;9.3</f>
        <v>0</v>
      </c>
      <c r="I522" t="b">
        <f>Table_15[[#This Row],[Temps d''achat]]&lt;4</f>
        <v>0</v>
      </c>
    </row>
    <row r="523" spans="1:9" x14ac:dyDescent="0.35">
      <c r="A523" s="39">
        <v>28</v>
      </c>
      <c r="B523" s="40">
        <v>4.3899999999999997</v>
      </c>
      <c r="C523" s="41">
        <v>35.26</v>
      </c>
      <c r="D523" s="42" t="s">
        <v>10</v>
      </c>
      <c r="G523" s="47">
        <f t="shared" si="14"/>
        <v>16362.489999999991</v>
      </c>
      <c r="H523" t="b">
        <f>Table_15[[#This Row],[Temps d''achat]]&gt;9.3</f>
        <v>0</v>
      </c>
      <c r="I523" t="b">
        <f>Table_15[[#This Row],[Temps d''achat]]&lt;4</f>
        <v>0</v>
      </c>
    </row>
    <row r="524" spans="1:9" x14ac:dyDescent="0.35">
      <c r="A524" s="43">
        <v>7</v>
      </c>
      <c r="B524" s="44">
        <v>5.66</v>
      </c>
      <c r="C524" s="45">
        <v>56.39</v>
      </c>
      <c r="D524" s="46" t="s">
        <v>10</v>
      </c>
      <c r="G524" s="47">
        <f t="shared" si="15"/>
        <v>16398.69999999999</v>
      </c>
      <c r="H524" t="b">
        <f>Table_15[[#This Row],[Temps d''achat]]&gt;9.3</f>
        <v>0</v>
      </c>
      <c r="I524" t="b">
        <f>Table_15[[#This Row],[Temps d''achat]]&lt;4</f>
        <v>0</v>
      </c>
    </row>
    <row r="525" spans="1:9" x14ac:dyDescent="0.35">
      <c r="A525" s="39">
        <v>27</v>
      </c>
      <c r="B525" s="40">
        <v>6.47</v>
      </c>
      <c r="C525" s="41">
        <v>36.21</v>
      </c>
      <c r="D525" s="42" t="s">
        <v>10</v>
      </c>
      <c r="G525" s="47">
        <f t="shared" si="14"/>
        <v>16500.619999999988</v>
      </c>
      <c r="H525" t="b">
        <f>Table_15[[#This Row],[Temps d''achat]]&gt;9.3</f>
        <v>0</v>
      </c>
      <c r="I525" t="b">
        <f>Table_15[[#This Row],[Temps d''achat]]&lt;4</f>
        <v>0</v>
      </c>
    </row>
    <row r="526" spans="1:9" x14ac:dyDescent="0.35">
      <c r="A526" s="43">
        <v>32</v>
      </c>
      <c r="B526" s="44">
        <v>7.3</v>
      </c>
      <c r="C526" s="45">
        <v>101.92</v>
      </c>
      <c r="D526" s="46" t="s">
        <v>10</v>
      </c>
      <c r="G526" s="47">
        <f t="shared" si="15"/>
        <v>16544.369999999988</v>
      </c>
      <c r="H526" t="b">
        <f>Table_15[[#This Row],[Temps d''achat]]&gt;9.3</f>
        <v>0</v>
      </c>
      <c r="I526" t="b">
        <f>Table_15[[#This Row],[Temps d''achat]]&lt;4</f>
        <v>0</v>
      </c>
    </row>
    <row r="527" spans="1:9" x14ac:dyDescent="0.35">
      <c r="A527" s="39">
        <v>21</v>
      </c>
      <c r="B527" s="40">
        <v>6.16</v>
      </c>
      <c r="C527" s="41">
        <v>43.75</v>
      </c>
      <c r="D527" s="42" t="s">
        <v>10</v>
      </c>
      <c r="G527" s="47">
        <f t="shared" si="14"/>
        <v>16621.819999999989</v>
      </c>
      <c r="H527" t="b">
        <f>Table_15[[#This Row],[Temps d''achat]]&gt;9.3</f>
        <v>0</v>
      </c>
      <c r="I527" t="b">
        <f>Table_15[[#This Row],[Temps d''achat]]&lt;4</f>
        <v>0</v>
      </c>
    </row>
    <row r="528" spans="1:9" x14ac:dyDescent="0.35">
      <c r="A528" s="43">
        <v>44</v>
      </c>
      <c r="B528" s="44">
        <v>5.67</v>
      </c>
      <c r="C528" s="45">
        <v>77.45</v>
      </c>
      <c r="D528" s="46" t="s">
        <v>10</v>
      </c>
      <c r="G528" s="47">
        <f t="shared" si="15"/>
        <v>16702.12999999999</v>
      </c>
      <c r="H528" t="b">
        <f>Table_15[[#This Row],[Temps d''achat]]&gt;9.3</f>
        <v>0</v>
      </c>
      <c r="I528" t="b">
        <f>Table_15[[#This Row],[Temps d''achat]]&lt;4</f>
        <v>0</v>
      </c>
    </row>
    <row r="529" spans="1:9" x14ac:dyDescent="0.35">
      <c r="A529" s="39">
        <v>2</v>
      </c>
      <c r="B529" s="40">
        <v>5.96</v>
      </c>
      <c r="C529" s="41">
        <v>80.31</v>
      </c>
      <c r="D529" s="42" t="s">
        <v>10</v>
      </c>
      <c r="G529" s="47">
        <f t="shared" si="14"/>
        <v>16806.87999999999</v>
      </c>
      <c r="H529" t="b">
        <f>Table_15[[#This Row],[Temps d''achat]]&gt;9.3</f>
        <v>0</v>
      </c>
      <c r="I529" t="b">
        <f>Table_15[[#This Row],[Temps d''achat]]&lt;4</f>
        <v>0</v>
      </c>
    </row>
    <row r="530" spans="1:9" x14ac:dyDescent="0.35">
      <c r="A530" s="43">
        <v>20</v>
      </c>
      <c r="B530" s="44">
        <v>7.97</v>
      </c>
      <c r="C530" s="45">
        <v>104.75</v>
      </c>
      <c r="D530" s="46" t="s">
        <v>10</v>
      </c>
      <c r="G530" s="47">
        <f t="shared" si="15"/>
        <v>16886.12999999999</v>
      </c>
      <c r="H530" t="b">
        <f>Table_15[[#This Row],[Temps d''achat]]&gt;9.3</f>
        <v>0</v>
      </c>
      <c r="I530" t="b">
        <f>Table_15[[#This Row],[Temps d''achat]]&lt;4</f>
        <v>0</v>
      </c>
    </row>
    <row r="531" spans="1:9" x14ac:dyDescent="0.35">
      <c r="A531" s="39">
        <v>10</v>
      </c>
      <c r="B531" s="40">
        <v>8.02</v>
      </c>
      <c r="C531" s="41">
        <v>79.25</v>
      </c>
      <c r="D531" s="42" t="s">
        <v>10</v>
      </c>
      <c r="G531" s="47">
        <f t="shared" si="14"/>
        <v>16964.329999999991</v>
      </c>
      <c r="H531" t="b">
        <f>Table_15[[#This Row],[Temps d''achat]]&gt;9.3</f>
        <v>0</v>
      </c>
      <c r="I531" t="b">
        <f>Table_15[[#This Row],[Temps d''achat]]&lt;4</f>
        <v>0</v>
      </c>
    </row>
    <row r="532" spans="1:9" x14ac:dyDescent="0.35">
      <c r="A532" s="43">
        <v>14</v>
      </c>
      <c r="B532" s="44">
        <v>6.27</v>
      </c>
      <c r="C532" s="45">
        <v>78.2</v>
      </c>
      <c r="D532" s="46" t="s">
        <v>10</v>
      </c>
      <c r="G532" s="47">
        <f t="shared" si="15"/>
        <v>17053.399999999991</v>
      </c>
      <c r="H532" t="b">
        <f>Table_15[[#This Row],[Temps d''achat]]&gt;9.3</f>
        <v>0</v>
      </c>
      <c r="I532" t="b">
        <f>Table_15[[#This Row],[Temps d''achat]]&lt;4</f>
        <v>0</v>
      </c>
    </row>
    <row r="533" spans="1:9" x14ac:dyDescent="0.35">
      <c r="A533" s="39">
        <v>9</v>
      </c>
      <c r="B533" s="40">
        <v>8.1199999999999992</v>
      </c>
      <c r="C533" s="41">
        <v>89.07</v>
      </c>
      <c r="D533" s="42" t="s">
        <v>10</v>
      </c>
      <c r="G533" s="47">
        <f t="shared" si="14"/>
        <v>17116.37999999999</v>
      </c>
      <c r="H533" t="b">
        <f>Table_15[[#This Row],[Temps d''achat]]&gt;9.3</f>
        <v>0</v>
      </c>
      <c r="I533" t="b">
        <f>Table_15[[#This Row],[Temps d''achat]]&lt;4</f>
        <v>0</v>
      </c>
    </row>
    <row r="534" spans="1:9" x14ac:dyDescent="0.35">
      <c r="A534" s="43">
        <v>21</v>
      </c>
      <c r="B534" s="44">
        <v>6.65</v>
      </c>
      <c r="C534" s="45">
        <v>62.98</v>
      </c>
      <c r="D534" s="46" t="s">
        <v>10</v>
      </c>
      <c r="G534" s="47">
        <f t="shared" si="15"/>
        <v>17189.159999999989</v>
      </c>
      <c r="H534" t="b">
        <f>Table_15[[#This Row],[Temps d''achat]]&gt;9.3</f>
        <v>0</v>
      </c>
      <c r="I534" t="b">
        <f>Table_15[[#This Row],[Temps d''achat]]&lt;4</f>
        <v>0</v>
      </c>
    </row>
    <row r="535" spans="1:9" x14ac:dyDescent="0.35">
      <c r="A535" s="39">
        <v>55</v>
      </c>
      <c r="B535" s="40">
        <v>8.69</v>
      </c>
      <c r="C535" s="41">
        <v>72.78</v>
      </c>
      <c r="D535" s="42" t="s">
        <v>10</v>
      </c>
      <c r="G535" s="47">
        <f t="shared" si="14"/>
        <v>17299.639999999989</v>
      </c>
      <c r="H535" t="b">
        <f>Table_15[[#This Row],[Temps d''achat]]&gt;9.3</f>
        <v>0</v>
      </c>
      <c r="I535" t="b">
        <f>Table_15[[#This Row],[Temps d''achat]]&lt;4</f>
        <v>0</v>
      </c>
    </row>
    <row r="536" spans="1:9" x14ac:dyDescent="0.35">
      <c r="A536" s="43">
        <v>25</v>
      </c>
      <c r="B536" s="44">
        <v>8.0399999999999991</v>
      </c>
      <c r="C536" s="45">
        <v>110.48</v>
      </c>
      <c r="D536" s="46" t="s">
        <v>10</v>
      </c>
      <c r="G536" s="47">
        <f t="shared" si="15"/>
        <v>17350.639999999989</v>
      </c>
      <c r="H536" t="b">
        <f>Table_15[[#This Row],[Temps d''achat]]&gt;9.3</f>
        <v>0</v>
      </c>
      <c r="I536" t="b">
        <f>Table_15[[#This Row],[Temps d''achat]]&lt;4</f>
        <v>0</v>
      </c>
    </row>
    <row r="537" spans="1:9" x14ac:dyDescent="0.35">
      <c r="A537" s="39">
        <v>2</v>
      </c>
      <c r="B537" s="40">
        <v>5.0999999999999996</v>
      </c>
      <c r="C537" s="41">
        <v>51</v>
      </c>
      <c r="D537" s="42" t="s">
        <v>10</v>
      </c>
      <c r="G537" s="47">
        <f t="shared" si="14"/>
        <v>17428.029999999988</v>
      </c>
      <c r="H537" t="b">
        <f>Table_15[[#This Row],[Temps d''achat]]&gt;9.3</f>
        <v>0</v>
      </c>
      <c r="I537" t="b">
        <f>Table_15[[#This Row],[Temps d''achat]]&lt;4</f>
        <v>0</v>
      </c>
    </row>
    <row r="538" spans="1:9" x14ac:dyDescent="0.35">
      <c r="A538" s="43">
        <v>11</v>
      </c>
      <c r="B538" s="44">
        <v>8.19</v>
      </c>
      <c r="C538" s="45">
        <v>77.39</v>
      </c>
      <c r="D538" s="46" t="s">
        <v>10</v>
      </c>
      <c r="G538" s="47">
        <f t="shared" si="15"/>
        <v>17481.549999999988</v>
      </c>
      <c r="H538" t="b">
        <f>Table_15[[#This Row],[Temps d''achat]]&gt;9.3</f>
        <v>0</v>
      </c>
      <c r="I538" t="b">
        <f>Table_15[[#This Row],[Temps d''achat]]&lt;4</f>
        <v>0</v>
      </c>
    </row>
    <row r="539" spans="1:9" x14ac:dyDescent="0.35">
      <c r="A539" s="39">
        <v>8</v>
      </c>
      <c r="B539" s="40">
        <v>4.87</v>
      </c>
      <c r="C539" s="41">
        <v>53.52</v>
      </c>
      <c r="D539" s="42" t="s">
        <v>10</v>
      </c>
      <c r="G539" s="47">
        <f t="shared" si="14"/>
        <v>17550.619999999988</v>
      </c>
      <c r="H539" t="b">
        <f>Table_15[[#This Row],[Temps d''achat]]&gt;9.3</f>
        <v>0</v>
      </c>
      <c r="I539" t="b">
        <f>Table_15[[#This Row],[Temps d''achat]]&lt;4</f>
        <v>0</v>
      </c>
    </row>
    <row r="540" spans="1:9" x14ac:dyDescent="0.35">
      <c r="A540" s="43">
        <v>51</v>
      </c>
      <c r="B540" s="44">
        <v>6.46</v>
      </c>
      <c r="C540" s="45">
        <v>69.069999999999993</v>
      </c>
      <c r="D540" s="46" t="s">
        <v>10</v>
      </c>
      <c r="G540" s="47">
        <f t="shared" si="15"/>
        <v>17637.629999999986</v>
      </c>
      <c r="H540" t="b">
        <f>Table_15[[#This Row],[Temps d''achat]]&gt;9.3</f>
        <v>0</v>
      </c>
      <c r="I540" t="b">
        <f>Table_15[[#This Row],[Temps d''achat]]&lt;4</f>
        <v>0</v>
      </c>
    </row>
    <row r="541" spans="1:9" x14ac:dyDescent="0.35">
      <c r="A541" s="39">
        <v>5</v>
      </c>
      <c r="B541" s="40">
        <v>8.68</v>
      </c>
      <c r="C541" s="41">
        <v>87.01</v>
      </c>
      <c r="D541" s="42" t="s">
        <v>10</v>
      </c>
      <c r="G541" s="47">
        <f t="shared" si="14"/>
        <v>17669.379999999986</v>
      </c>
      <c r="H541" t="b">
        <f>Table_15[[#This Row],[Temps d''achat]]&gt;9.3</f>
        <v>0</v>
      </c>
      <c r="I541" t="b">
        <f>Table_15[[#This Row],[Temps d''achat]]&lt;4</f>
        <v>0</v>
      </c>
    </row>
    <row r="542" spans="1:9" x14ac:dyDescent="0.35">
      <c r="A542" s="43">
        <v>24</v>
      </c>
      <c r="B542" s="44">
        <v>7.72</v>
      </c>
      <c r="C542" s="45">
        <v>31.75</v>
      </c>
      <c r="D542" s="46" t="s">
        <v>10</v>
      </c>
      <c r="G542" s="47">
        <f t="shared" si="15"/>
        <v>17739.759999999987</v>
      </c>
      <c r="H542" t="b">
        <f>Table_15[[#This Row],[Temps d''achat]]&gt;9.3</f>
        <v>0</v>
      </c>
      <c r="I542" t="b">
        <f>Table_15[[#This Row],[Temps d''achat]]&lt;4</f>
        <v>0</v>
      </c>
    </row>
    <row r="543" spans="1:9" x14ac:dyDescent="0.35">
      <c r="A543" s="39">
        <v>6</v>
      </c>
      <c r="B543" s="40">
        <v>9.33</v>
      </c>
      <c r="C543" s="52">
        <v>70.38</v>
      </c>
      <c r="D543" s="42" t="s">
        <v>10</v>
      </c>
      <c r="G543" s="47">
        <f t="shared" si="14"/>
        <v>17795.489999999987</v>
      </c>
      <c r="H543" t="b">
        <f>Table_15[[#This Row],[Temps d''achat]]&gt;9.3</f>
        <v>1</v>
      </c>
      <c r="I543" t="b">
        <f>Table_15[[#This Row],[Temps d''achat]]&lt;4</f>
        <v>0</v>
      </c>
    </row>
    <row r="544" spans="1:9" x14ac:dyDescent="0.35">
      <c r="A544" s="43">
        <v>8</v>
      </c>
      <c r="B544" s="44">
        <v>9.25</v>
      </c>
      <c r="C544" s="45">
        <v>55.73</v>
      </c>
      <c r="D544" s="46" t="s">
        <v>10</v>
      </c>
      <c r="G544" s="47">
        <f t="shared" si="15"/>
        <v>17848.419999999987</v>
      </c>
      <c r="H544" t="b">
        <f>Table_15[[#This Row],[Temps d''achat]]&gt;9.3</f>
        <v>0</v>
      </c>
      <c r="I544" t="b">
        <f>Table_15[[#This Row],[Temps d''achat]]&lt;4</f>
        <v>0</v>
      </c>
    </row>
    <row r="545" spans="1:9" x14ac:dyDescent="0.35">
      <c r="A545" s="39">
        <v>17</v>
      </c>
      <c r="B545" s="40">
        <v>6.91</v>
      </c>
      <c r="C545" s="41">
        <v>52.93</v>
      </c>
      <c r="D545" s="42" t="s">
        <v>10</v>
      </c>
      <c r="G545" s="47">
        <f t="shared" si="14"/>
        <v>17907.889999999989</v>
      </c>
      <c r="H545" t="b">
        <f>Table_15[[#This Row],[Temps d''achat]]&gt;9.3</f>
        <v>0</v>
      </c>
      <c r="I545" t="b">
        <f>Table_15[[#This Row],[Temps d''achat]]&lt;4</f>
        <v>0</v>
      </c>
    </row>
    <row r="546" spans="1:9" x14ac:dyDescent="0.35">
      <c r="A546" s="43">
        <v>24</v>
      </c>
      <c r="B546" s="44">
        <v>8.6199999999999992</v>
      </c>
      <c r="C546" s="45">
        <v>59.47</v>
      </c>
      <c r="D546" s="46" t="s">
        <v>10</v>
      </c>
      <c r="G546" s="47">
        <f t="shared" si="15"/>
        <v>17959.319999999989</v>
      </c>
      <c r="H546" t="b">
        <f>Table_15[[#This Row],[Temps d''achat]]&gt;9.3</f>
        <v>0</v>
      </c>
      <c r="I546" t="b">
        <f>Table_15[[#This Row],[Temps d''achat]]&lt;4</f>
        <v>0</v>
      </c>
    </row>
    <row r="547" spans="1:9" x14ac:dyDescent="0.35">
      <c r="A547" s="39">
        <v>29</v>
      </c>
      <c r="B547" s="40">
        <v>5.88</v>
      </c>
      <c r="C547" s="41">
        <v>51.43</v>
      </c>
      <c r="D547" s="42" t="s">
        <v>10</v>
      </c>
      <c r="G547" s="47">
        <f t="shared" si="14"/>
        <v>18022.669999999987</v>
      </c>
      <c r="H547" t="b">
        <f>Table_15[[#This Row],[Temps d''achat]]&gt;9.3</f>
        <v>0</v>
      </c>
      <c r="I547" t="b">
        <f>Table_15[[#This Row],[Temps d''achat]]&lt;4</f>
        <v>0</v>
      </c>
    </row>
    <row r="548" spans="1:9" x14ac:dyDescent="0.35">
      <c r="A548" s="43">
        <v>31</v>
      </c>
      <c r="B548" s="44">
        <v>7.3</v>
      </c>
      <c r="C548" s="45">
        <v>63.35</v>
      </c>
      <c r="D548" s="46" t="s">
        <v>10</v>
      </c>
      <c r="G548" s="47">
        <f t="shared" si="15"/>
        <v>18067.619999999988</v>
      </c>
      <c r="H548" t="b">
        <f>Table_15[[#This Row],[Temps d''achat]]&gt;9.3</f>
        <v>0</v>
      </c>
      <c r="I548" t="b">
        <f>Table_15[[#This Row],[Temps d''achat]]&lt;4</f>
        <v>0</v>
      </c>
    </row>
    <row r="549" spans="1:9" x14ac:dyDescent="0.35">
      <c r="A549" s="39">
        <v>10</v>
      </c>
      <c r="B549" s="40">
        <v>5.93</v>
      </c>
      <c r="C549" s="41">
        <v>44.95</v>
      </c>
      <c r="D549" s="42" t="s">
        <v>10</v>
      </c>
      <c r="G549" s="47">
        <f t="shared" si="14"/>
        <v>18138.499999999989</v>
      </c>
      <c r="H549" t="b">
        <f>Table_15[[#This Row],[Temps d''achat]]&gt;9.3</f>
        <v>0</v>
      </c>
      <c r="I549" t="b">
        <f>Table_15[[#This Row],[Temps d''achat]]&lt;4</f>
        <v>0</v>
      </c>
    </row>
    <row r="550" spans="1:9" x14ac:dyDescent="0.35">
      <c r="A550" s="43">
        <v>41</v>
      </c>
      <c r="B550" s="44">
        <v>8.19</v>
      </c>
      <c r="C550" s="45">
        <v>70.88</v>
      </c>
      <c r="D550" s="46" t="s">
        <v>10</v>
      </c>
      <c r="G550" s="47">
        <f t="shared" si="15"/>
        <v>18200.369999999988</v>
      </c>
      <c r="H550" t="b">
        <f>Table_15[[#This Row],[Temps d''achat]]&gt;9.3</f>
        <v>0</v>
      </c>
      <c r="I550" t="b">
        <f>Table_15[[#This Row],[Temps d''achat]]&lt;4</f>
        <v>0</v>
      </c>
    </row>
    <row r="551" spans="1:9" x14ac:dyDescent="0.35">
      <c r="A551" s="39">
        <v>19</v>
      </c>
      <c r="B551" s="40">
        <v>8.7799999999999994</v>
      </c>
      <c r="C551" s="41">
        <v>61.87</v>
      </c>
      <c r="D551" s="42" t="s">
        <v>10</v>
      </c>
      <c r="G551" s="47">
        <f t="shared" si="14"/>
        <v>18237.079999999987</v>
      </c>
      <c r="H551" t="b">
        <f>Table_15[[#This Row],[Temps d''achat]]&gt;9.3</f>
        <v>0</v>
      </c>
      <c r="I551" t="b">
        <f>Table_15[[#This Row],[Temps d''achat]]&lt;4</f>
        <v>0</v>
      </c>
    </row>
    <row r="552" spans="1:9" x14ac:dyDescent="0.35">
      <c r="A552" s="43">
        <v>5</v>
      </c>
      <c r="B552" s="44">
        <v>7.29</v>
      </c>
      <c r="C552" s="45">
        <v>36.71</v>
      </c>
      <c r="D552" s="46" t="s">
        <v>10</v>
      </c>
      <c r="G552" s="47">
        <f t="shared" si="15"/>
        <v>18284.829999999987</v>
      </c>
      <c r="H552" t="b">
        <f>Table_15[[#This Row],[Temps d''achat]]&gt;9.3</f>
        <v>0</v>
      </c>
      <c r="I552" t="b">
        <f>Table_15[[#This Row],[Temps d''achat]]&lt;4</f>
        <v>0</v>
      </c>
    </row>
    <row r="553" spans="1:9" x14ac:dyDescent="0.35">
      <c r="A553" s="39">
        <v>49</v>
      </c>
      <c r="B553" s="40">
        <v>7.37</v>
      </c>
      <c r="C553" s="41">
        <v>47.75</v>
      </c>
      <c r="D553" s="42" t="s">
        <v>10</v>
      </c>
      <c r="G553" s="47">
        <f t="shared" si="14"/>
        <v>18344.949999999986</v>
      </c>
      <c r="H553" t="b">
        <f>Table_15[[#This Row],[Temps d''achat]]&gt;9.3</f>
        <v>0</v>
      </c>
      <c r="I553" t="b">
        <f>Table_15[[#This Row],[Temps d''achat]]&lt;4</f>
        <v>0</v>
      </c>
    </row>
    <row r="554" spans="1:9" x14ac:dyDescent="0.35">
      <c r="A554" s="43">
        <v>31</v>
      </c>
      <c r="B554" s="44">
        <v>9</v>
      </c>
      <c r="C554" s="45">
        <v>60.12</v>
      </c>
      <c r="D554" s="46" t="s">
        <v>10</v>
      </c>
      <c r="G554" s="47">
        <f t="shared" si="15"/>
        <v>18402.549999999985</v>
      </c>
      <c r="H554" t="b">
        <f>Table_15[[#This Row],[Temps d''achat]]&gt;9.3</f>
        <v>0</v>
      </c>
      <c r="I554" t="b">
        <f>Table_15[[#This Row],[Temps d''achat]]&lt;4</f>
        <v>0</v>
      </c>
    </row>
    <row r="555" spans="1:9" x14ac:dyDescent="0.35">
      <c r="A555" s="39">
        <v>21</v>
      </c>
      <c r="B555" s="40">
        <v>9.5299999999999994</v>
      </c>
      <c r="C555" s="52">
        <v>57.6</v>
      </c>
      <c r="D555" s="42" t="s">
        <v>10</v>
      </c>
      <c r="G555" s="47">
        <f t="shared" si="14"/>
        <v>18445.529999999984</v>
      </c>
      <c r="H555" t="b">
        <f>Table_15[[#This Row],[Temps d''achat]]&gt;9.3</f>
        <v>1</v>
      </c>
      <c r="I555" t="b">
        <f>Table_15[[#This Row],[Temps d''achat]]&lt;4</f>
        <v>0</v>
      </c>
    </row>
    <row r="556" spans="1:9" x14ac:dyDescent="0.35">
      <c r="A556" s="43">
        <v>10</v>
      </c>
      <c r="B556" s="44">
        <v>9.85</v>
      </c>
      <c r="C556" s="53">
        <v>42.98</v>
      </c>
      <c r="D556" s="46" t="s">
        <v>10</v>
      </c>
      <c r="G556" s="47">
        <f t="shared" si="15"/>
        <v>18528.909999999985</v>
      </c>
      <c r="H556" t="b">
        <f>Table_15[[#This Row],[Temps d''achat]]&gt;9.3</f>
        <v>1</v>
      </c>
      <c r="I556" t="b">
        <f>Table_15[[#This Row],[Temps d''achat]]&lt;4</f>
        <v>0</v>
      </c>
    </row>
    <row r="557" spans="1:9" x14ac:dyDescent="0.35">
      <c r="A557" s="39">
        <v>16</v>
      </c>
      <c r="B557" s="40">
        <v>8.74</v>
      </c>
      <c r="C557" s="41">
        <v>83.38</v>
      </c>
      <c r="D557" s="42" t="s">
        <v>10</v>
      </c>
      <c r="G557" s="47">
        <f t="shared" si="14"/>
        <v>18600.889999999985</v>
      </c>
      <c r="H557" t="b">
        <f>Table_15[[#This Row],[Temps d''achat]]&gt;9.3</f>
        <v>0</v>
      </c>
      <c r="I557" t="b">
        <f>Table_15[[#This Row],[Temps d''achat]]&lt;4</f>
        <v>0</v>
      </c>
    </row>
    <row r="558" spans="1:9" x14ac:dyDescent="0.35">
      <c r="A558" s="43">
        <v>5</v>
      </c>
      <c r="B558" s="44">
        <v>5.73</v>
      </c>
      <c r="C558" s="45">
        <v>71.98</v>
      </c>
      <c r="D558" s="46" t="s">
        <v>10</v>
      </c>
      <c r="G558" s="47">
        <f t="shared" si="15"/>
        <v>18626.169999999984</v>
      </c>
      <c r="H558" t="b">
        <f>Table_15[[#This Row],[Temps d''achat]]&gt;9.3</f>
        <v>0</v>
      </c>
      <c r="I558" t="b">
        <f>Table_15[[#This Row],[Temps d''achat]]&lt;4</f>
        <v>0</v>
      </c>
    </row>
    <row r="559" spans="1:9" x14ac:dyDescent="0.35">
      <c r="A559" s="39">
        <v>29</v>
      </c>
      <c r="B559" s="40">
        <v>2.67</v>
      </c>
      <c r="C559" s="41">
        <v>25.28</v>
      </c>
      <c r="D559" s="42" t="s">
        <v>10</v>
      </c>
      <c r="G559" s="47">
        <f t="shared" ref="G559:G607" si="16">G558+C560</f>
        <v>18657.269999999982</v>
      </c>
      <c r="H559" t="b">
        <f>Table_15[[#This Row],[Temps d''achat]]&gt;9.3</f>
        <v>0</v>
      </c>
      <c r="I559" t="b">
        <f>Table_15[[#This Row],[Temps d''achat]]&lt;4</f>
        <v>1</v>
      </c>
    </row>
    <row r="560" spans="1:9" x14ac:dyDescent="0.35">
      <c r="A560" s="43">
        <v>12</v>
      </c>
      <c r="B560" s="44">
        <v>2.4</v>
      </c>
      <c r="C560" s="45">
        <v>31.1</v>
      </c>
      <c r="D560" s="46" t="s">
        <v>10</v>
      </c>
      <c r="G560" s="47">
        <f t="shared" ref="G560:G608" si="17">C561+G559</f>
        <v>18676.279999999981</v>
      </c>
      <c r="H560" t="b">
        <f>Table_15[[#This Row],[Temps d''achat]]&gt;9.3</f>
        <v>0</v>
      </c>
      <c r="I560" t="b">
        <f>Table_15[[#This Row],[Temps d''achat]]&lt;4</f>
        <v>1</v>
      </c>
    </row>
    <row r="561" spans="1:9" x14ac:dyDescent="0.35">
      <c r="A561" s="39">
        <v>34</v>
      </c>
      <c r="B561" s="40">
        <v>2</v>
      </c>
      <c r="C561" s="41">
        <v>19.010000000000002</v>
      </c>
      <c r="D561" s="42" t="s">
        <v>10</v>
      </c>
      <c r="G561" s="47">
        <f t="shared" si="16"/>
        <v>18698.269999999982</v>
      </c>
      <c r="H561" t="b">
        <f>Table_15[[#This Row],[Temps d''achat]]&gt;9.3</f>
        <v>0</v>
      </c>
      <c r="I561" t="b">
        <f>Table_15[[#This Row],[Temps d''achat]]&lt;4</f>
        <v>1</v>
      </c>
    </row>
    <row r="562" spans="1:9" x14ac:dyDescent="0.35">
      <c r="A562" s="43">
        <v>49</v>
      </c>
      <c r="B562" s="44">
        <v>4</v>
      </c>
      <c r="C562" s="45">
        <v>21.99</v>
      </c>
      <c r="D562" s="46" t="s">
        <v>10</v>
      </c>
      <c r="G562" s="47">
        <f t="shared" si="17"/>
        <v>18716.549999999981</v>
      </c>
      <c r="H562" t="b">
        <f>Table_15[[#This Row],[Temps d''achat]]&gt;9.3</f>
        <v>0</v>
      </c>
      <c r="I562" t="b">
        <f>Table_15[[#This Row],[Temps d''achat]]&lt;4</f>
        <v>0</v>
      </c>
    </row>
    <row r="563" spans="1:9" x14ac:dyDescent="0.35">
      <c r="A563" s="39">
        <v>43</v>
      </c>
      <c r="B563" s="40">
        <v>4</v>
      </c>
      <c r="C563" s="41">
        <v>18.28</v>
      </c>
      <c r="D563" s="42" t="s">
        <v>10</v>
      </c>
      <c r="G563" s="47">
        <f t="shared" si="16"/>
        <v>18755.449999999983</v>
      </c>
      <c r="H563" t="b">
        <f>Table_15[[#This Row],[Temps d''achat]]&gt;9.3</f>
        <v>0</v>
      </c>
      <c r="I563" t="b">
        <f>Table_15[[#This Row],[Temps d''achat]]&lt;4</f>
        <v>0</v>
      </c>
    </row>
    <row r="564" spans="1:9" x14ac:dyDescent="0.35">
      <c r="A564" s="43">
        <v>6</v>
      </c>
      <c r="B564" s="44">
        <v>2.5</v>
      </c>
      <c r="C564" s="45">
        <v>38.9</v>
      </c>
      <c r="D564" s="46" t="s">
        <v>10</v>
      </c>
      <c r="G564" s="47">
        <f t="shared" si="17"/>
        <v>18807.429999999982</v>
      </c>
      <c r="H564" t="b">
        <f>Table_15[[#This Row],[Temps d''achat]]&gt;9.3</f>
        <v>0</v>
      </c>
      <c r="I564" t="b">
        <f>Table_15[[#This Row],[Temps d''achat]]&lt;4</f>
        <v>1</v>
      </c>
    </row>
    <row r="565" spans="1:9" x14ac:dyDescent="0.35">
      <c r="A565" s="39">
        <v>9</v>
      </c>
      <c r="B565" s="40">
        <v>3.5</v>
      </c>
      <c r="C565" s="41">
        <v>51.98</v>
      </c>
      <c r="D565" s="42" t="s">
        <v>10</v>
      </c>
      <c r="G565" s="47">
        <f t="shared" si="16"/>
        <v>18846.969999999983</v>
      </c>
      <c r="H565" t="b">
        <f>Table_15[[#This Row],[Temps d''achat]]&gt;9.3</f>
        <v>0</v>
      </c>
      <c r="I565" t="b">
        <f>Table_15[[#This Row],[Temps d''achat]]&lt;4</f>
        <v>1</v>
      </c>
    </row>
    <row r="566" spans="1:9" x14ac:dyDescent="0.35">
      <c r="A566" s="43">
        <v>37</v>
      </c>
      <c r="B566" s="44">
        <v>2.2999999999999998</v>
      </c>
      <c r="C566" s="45">
        <v>39.54</v>
      </c>
      <c r="D566" s="46" t="s">
        <v>10</v>
      </c>
      <c r="G566" s="47">
        <f t="shared" si="17"/>
        <v>18877.649999999983</v>
      </c>
      <c r="H566" t="b">
        <f>Table_15[[#This Row],[Temps d''achat]]&gt;9.3</f>
        <v>0</v>
      </c>
      <c r="I566" t="b">
        <f>Table_15[[#This Row],[Temps d''achat]]&lt;4</f>
        <v>1</v>
      </c>
    </row>
    <row r="567" spans="1:9" x14ac:dyDescent="0.35">
      <c r="A567" s="39">
        <v>20</v>
      </c>
      <c r="B567" s="40">
        <v>3</v>
      </c>
      <c r="C567" s="41">
        <v>30.68</v>
      </c>
      <c r="D567" s="42" t="s">
        <v>10</v>
      </c>
      <c r="G567" s="47">
        <f t="shared" si="16"/>
        <v>18920.909999999982</v>
      </c>
      <c r="H567" t="b">
        <f>Table_15[[#This Row],[Temps d''achat]]&gt;9.3</f>
        <v>0</v>
      </c>
      <c r="I567" t="b">
        <f>Table_15[[#This Row],[Temps d''achat]]&lt;4</f>
        <v>1</v>
      </c>
    </row>
    <row r="568" spans="1:9" x14ac:dyDescent="0.35">
      <c r="A568" s="43">
        <v>26</v>
      </c>
      <c r="B568" s="44">
        <v>2.6</v>
      </c>
      <c r="C568" s="45">
        <v>43.26</v>
      </c>
      <c r="D568" s="46" t="s">
        <v>10</v>
      </c>
      <c r="G568" s="47">
        <f t="shared" si="17"/>
        <v>18934.909999999982</v>
      </c>
      <c r="H568" t="b">
        <f>Table_15[[#This Row],[Temps d''achat]]&gt;9.3</f>
        <v>0</v>
      </c>
      <c r="I568" t="b">
        <f>Table_15[[#This Row],[Temps d''achat]]&lt;4</f>
        <v>1</v>
      </c>
    </row>
    <row r="569" spans="1:9" x14ac:dyDescent="0.35">
      <c r="A569" s="39">
        <v>13</v>
      </c>
      <c r="B569" s="40">
        <v>2.2999999999999998</v>
      </c>
      <c r="C569" s="41">
        <v>14</v>
      </c>
      <c r="D569" s="42" t="s">
        <v>10</v>
      </c>
      <c r="G569" s="47">
        <f t="shared" si="16"/>
        <v>18967.609999999982</v>
      </c>
      <c r="H569" t="b">
        <f>Table_15[[#This Row],[Temps d''achat]]&gt;9.3</f>
        <v>0</v>
      </c>
      <c r="I569" t="b">
        <f>Table_15[[#This Row],[Temps d''achat]]&lt;4</f>
        <v>1</v>
      </c>
    </row>
    <row r="570" spans="1:9" x14ac:dyDescent="0.35">
      <c r="A570" s="43">
        <v>30</v>
      </c>
      <c r="B570" s="44">
        <v>2</v>
      </c>
      <c r="C570" s="45">
        <v>32.700000000000003</v>
      </c>
      <c r="D570" s="46" t="s">
        <v>10</v>
      </c>
      <c r="G570" s="47">
        <f t="shared" si="17"/>
        <v>19000.639999999981</v>
      </c>
      <c r="H570" t="b">
        <f>Table_15[[#This Row],[Temps d''achat]]&gt;9.3</f>
        <v>0</v>
      </c>
      <c r="I570" t="b">
        <f>Table_15[[#This Row],[Temps d''achat]]&lt;4</f>
        <v>1</v>
      </c>
    </row>
    <row r="571" spans="1:9" x14ac:dyDescent="0.35">
      <c r="A571" s="39">
        <v>2</v>
      </c>
      <c r="B571" s="40">
        <v>3.3</v>
      </c>
      <c r="C571" s="41">
        <v>33.03</v>
      </c>
      <c r="D571" s="42" t="s">
        <v>10</v>
      </c>
      <c r="G571" s="47">
        <f t="shared" si="16"/>
        <v>19032.00999999998</v>
      </c>
      <c r="H571" t="b">
        <f>Table_15[[#This Row],[Temps d''achat]]&gt;9.3</f>
        <v>0</v>
      </c>
      <c r="I571" t="b">
        <f>Table_15[[#This Row],[Temps d''achat]]&lt;4</f>
        <v>1</v>
      </c>
    </row>
    <row r="572" spans="1:9" x14ac:dyDescent="0.35">
      <c r="A572" s="43">
        <v>1</v>
      </c>
      <c r="B572" s="44">
        <v>1.8</v>
      </c>
      <c r="C572" s="45">
        <v>31.37</v>
      </c>
      <c r="D572" s="46" t="s">
        <v>10</v>
      </c>
      <c r="G572" s="47">
        <f t="shared" si="17"/>
        <v>19066.979999999981</v>
      </c>
      <c r="H572" t="b">
        <f>Table_15[[#This Row],[Temps d''achat]]&gt;9.3</f>
        <v>0</v>
      </c>
      <c r="I572" t="b">
        <f>Table_15[[#This Row],[Temps d''achat]]&lt;4</f>
        <v>1</v>
      </c>
    </row>
    <row r="573" spans="1:9" x14ac:dyDescent="0.35">
      <c r="A573" s="39">
        <v>14</v>
      </c>
      <c r="B573" s="40">
        <v>1.5</v>
      </c>
      <c r="C573" s="41">
        <v>34.97</v>
      </c>
      <c r="D573" s="42" t="s">
        <v>10</v>
      </c>
      <c r="G573" s="47">
        <f t="shared" si="16"/>
        <v>19129.979999999981</v>
      </c>
      <c r="H573" t="b">
        <f>Table_15[[#This Row],[Temps d''achat]]&gt;9.3</f>
        <v>0</v>
      </c>
      <c r="I573" t="b">
        <f>Table_15[[#This Row],[Temps d''achat]]&lt;4</f>
        <v>1</v>
      </c>
    </row>
    <row r="574" spans="1:9" x14ac:dyDescent="0.35">
      <c r="A574" s="43">
        <v>16</v>
      </c>
      <c r="B574" s="44">
        <v>2.8</v>
      </c>
      <c r="C574" s="45">
        <v>63</v>
      </c>
      <c r="D574" s="46" t="s">
        <v>10</v>
      </c>
      <c r="G574" s="47">
        <f t="shared" si="17"/>
        <v>19181.969999999983</v>
      </c>
      <c r="H574" t="b">
        <f>Table_15[[#This Row],[Temps d''achat]]&gt;9.3</f>
        <v>0</v>
      </c>
      <c r="I574" t="b">
        <f>Table_15[[#This Row],[Temps d''achat]]&lt;4</f>
        <v>1</v>
      </c>
    </row>
    <row r="575" spans="1:9" x14ac:dyDescent="0.35">
      <c r="A575" s="39">
        <v>9</v>
      </c>
      <c r="B575" s="40">
        <v>2.2999999999999998</v>
      </c>
      <c r="C575" s="41">
        <v>51.99</v>
      </c>
      <c r="D575" s="42" t="s">
        <v>10</v>
      </c>
      <c r="G575" s="47">
        <f t="shared" si="16"/>
        <v>19249.229999999981</v>
      </c>
      <c r="H575" t="b">
        <f>Table_15[[#This Row],[Temps d''achat]]&gt;9.3</f>
        <v>0</v>
      </c>
      <c r="I575" t="b">
        <f>Table_15[[#This Row],[Temps d''achat]]&lt;4</f>
        <v>1</v>
      </c>
    </row>
    <row r="576" spans="1:9" x14ac:dyDescent="0.35">
      <c r="A576" s="43">
        <v>6</v>
      </c>
      <c r="B576" s="44">
        <v>1.8</v>
      </c>
      <c r="C576" s="45">
        <v>67.260000000000005</v>
      </c>
      <c r="D576" s="46" t="s">
        <v>10</v>
      </c>
      <c r="G576" s="47">
        <f t="shared" si="17"/>
        <v>19297.799999999981</v>
      </c>
      <c r="H576" t="b">
        <f>Table_15[[#This Row],[Temps d''achat]]&gt;9.3</f>
        <v>0</v>
      </c>
      <c r="I576" t="b">
        <f>Table_15[[#This Row],[Temps d''achat]]&lt;4</f>
        <v>1</v>
      </c>
    </row>
    <row r="577" spans="1:9" x14ac:dyDescent="0.35">
      <c r="A577" s="39">
        <v>38</v>
      </c>
      <c r="B577" s="40">
        <v>3.6</v>
      </c>
      <c r="C577" s="41">
        <v>48.57</v>
      </c>
      <c r="D577" s="42" t="s">
        <v>10</v>
      </c>
      <c r="G577" s="47">
        <f t="shared" si="16"/>
        <v>19345.939999999981</v>
      </c>
      <c r="H577" t="b">
        <f>Table_15[[#This Row],[Temps d''achat]]&gt;9.3</f>
        <v>0</v>
      </c>
      <c r="I577" t="b">
        <f>Table_15[[#This Row],[Temps d''achat]]&lt;4</f>
        <v>1</v>
      </c>
    </row>
    <row r="578" spans="1:9" x14ac:dyDescent="0.35">
      <c r="A578" s="43">
        <v>25</v>
      </c>
      <c r="B578" s="44">
        <v>2.4</v>
      </c>
      <c r="C578" s="45">
        <v>48.14</v>
      </c>
      <c r="D578" s="46" t="s">
        <v>10</v>
      </c>
      <c r="G578" s="47">
        <f t="shared" si="17"/>
        <v>19380.469999999979</v>
      </c>
      <c r="H578" t="b">
        <f>Table_15[[#This Row],[Temps d''achat]]&gt;9.3</f>
        <v>0</v>
      </c>
      <c r="I578" t="b">
        <f>Table_15[[#This Row],[Temps d''achat]]&lt;4</f>
        <v>1</v>
      </c>
    </row>
    <row r="579" spans="1:9" x14ac:dyDescent="0.35">
      <c r="A579" s="39">
        <v>12</v>
      </c>
      <c r="B579" s="40">
        <v>3.7</v>
      </c>
      <c r="C579" s="41">
        <v>34.53</v>
      </c>
      <c r="D579" s="42" t="s">
        <v>10</v>
      </c>
      <c r="G579" s="47">
        <f t="shared" si="16"/>
        <v>19392.41999999998</v>
      </c>
      <c r="H579" t="b">
        <f>Table_15[[#This Row],[Temps d''achat]]&gt;9.3</f>
        <v>0</v>
      </c>
      <c r="I579" t="b">
        <f>Table_15[[#This Row],[Temps d''achat]]&lt;4</f>
        <v>1</v>
      </c>
    </row>
    <row r="580" spans="1:9" x14ac:dyDescent="0.35">
      <c r="A580" s="43">
        <v>7</v>
      </c>
      <c r="B580" s="44">
        <v>3.9</v>
      </c>
      <c r="C580" s="45">
        <v>11.95</v>
      </c>
      <c r="D580" s="46" t="s">
        <v>10</v>
      </c>
      <c r="G580" s="47">
        <f t="shared" si="17"/>
        <v>19408.999999999982</v>
      </c>
      <c r="H580" t="b">
        <f>Table_15[[#This Row],[Temps d''achat]]&gt;9.3</f>
        <v>0</v>
      </c>
      <c r="I580" t="b">
        <f>Table_15[[#This Row],[Temps d''achat]]&lt;4</f>
        <v>1</v>
      </c>
    </row>
    <row r="581" spans="1:9" x14ac:dyDescent="0.35">
      <c r="A581" s="39">
        <v>57</v>
      </c>
      <c r="B581" s="40">
        <v>2.7</v>
      </c>
      <c r="C581" s="41">
        <v>16.579999999999998</v>
      </c>
      <c r="D581" s="42" t="s">
        <v>10</v>
      </c>
      <c r="G581" s="47">
        <f t="shared" si="16"/>
        <v>19459.339999999982</v>
      </c>
      <c r="H581" t="b">
        <f>Table_15[[#This Row],[Temps d''achat]]&gt;9.3</f>
        <v>0</v>
      </c>
      <c r="I581" t="b">
        <f>Table_15[[#This Row],[Temps d''achat]]&lt;4</f>
        <v>1</v>
      </c>
    </row>
    <row r="582" spans="1:9" x14ac:dyDescent="0.35">
      <c r="A582" s="43">
        <v>19</v>
      </c>
      <c r="B582" s="44">
        <v>3.8</v>
      </c>
      <c r="C582" s="45">
        <v>50.34</v>
      </c>
      <c r="D582" s="46" t="s">
        <v>10</v>
      </c>
      <c r="G582" s="47">
        <f t="shared" si="17"/>
        <v>19504.209999999981</v>
      </c>
      <c r="H582" t="b">
        <f>Table_15[[#This Row],[Temps d''achat]]&gt;9.3</f>
        <v>0</v>
      </c>
      <c r="I582" t="b">
        <f>Table_15[[#This Row],[Temps d''achat]]&lt;4</f>
        <v>1</v>
      </c>
    </row>
    <row r="583" spans="1:9" x14ac:dyDescent="0.35">
      <c r="A583" s="39">
        <v>25</v>
      </c>
      <c r="B583" s="40">
        <v>3.8</v>
      </c>
      <c r="C583" s="41">
        <v>44.87</v>
      </c>
      <c r="D583" s="42" t="s">
        <v>10</v>
      </c>
      <c r="G583" s="47">
        <f t="shared" si="16"/>
        <v>19511.179999999982</v>
      </c>
      <c r="H583" t="b">
        <f>Table_15[[#This Row],[Temps d''achat]]&gt;9.3</f>
        <v>0</v>
      </c>
      <c r="I583" t="b">
        <f>Table_15[[#This Row],[Temps d''achat]]&lt;4</f>
        <v>1</v>
      </c>
    </row>
    <row r="584" spans="1:9" x14ac:dyDescent="0.35">
      <c r="A584" s="43">
        <v>26</v>
      </c>
      <c r="B584" s="44">
        <v>3.2</v>
      </c>
      <c r="C584" s="45">
        <v>6.97</v>
      </c>
      <c r="D584" s="46" t="s">
        <v>10</v>
      </c>
      <c r="G584" s="47">
        <f t="shared" si="17"/>
        <v>19541.509999999984</v>
      </c>
      <c r="H584" t="b">
        <f>Table_15[[#This Row],[Temps d''achat]]&gt;9.3</f>
        <v>0</v>
      </c>
      <c r="I584" t="b">
        <f>Table_15[[#This Row],[Temps d''achat]]&lt;4</f>
        <v>1</v>
      </c>
    </row>
    <row r="585" spans="1:9" x14ac:dyDescent="0.35">
      <c r="A585" s="39">
        <v>47</v>
      </c>
      <c r="B585" s="40">
        <v>3.6</v>
      </c>
      <c r="C585" s="41">
        <v>30.33</v>
      </c>
      <c r="D585" s="42" t="s">
        <v>10</v>
      </c>
      <c r="G585" s="47">
        <f t="shared" si="16"/>
        <v>19584.019999999982</v>
      </c>
      <c r="H585" t="b">
        <f>Table_15[[#This Row],[Temps d''achat]]&gt;9.3</f>
        <v>0</v>
      </c>
      <c r="I585" t="b">
        <f>Table_15[[#This Row],[Temps d''achat]]&lt;4</f>
        <v>1</v>
      </c>
    </row>
    <row r="586" spans="1:9" x14ac:dyDescent="0.35">
      <c r="A586" s="43">
        <v>18</v>
      </c>
      <c r="B586" s="44">
        <v>2.6</v>
      </c>
      <c r="C586" s="45">
        <v>42.51</v>
      </c>
      <c r="D586" s="46" t="s">
        <v>10</v>
      </c>
      <c r="G586" s="47">
        <f t="shared" si="17"/>
        <v>19613.189999999981</v>
      </c>
      <c r="H586" t="b">
        <f>Table_15[[#This Row],[Temps d''achat]]&gt;9.3</f>
        <v>0</v>
      </c>
      <c r="I586" t="b">
        <f>Table_15[[#This Row],[Temps d''achat]]&lt;4</f>
        <v>1</v>
      </c>
    </row>
    <row r="587" spans="1:9" x14ac:dyDescent="0.35">
      <c r="A587" s="39">
        <v>17</v>
      </c>
      <c r="B587" s="40">
        <v>2</v>
      </c>
      <c r="C587" s="41">
        <v>29.17</v>
      </c>
      <c r="D587" s="42" t="s">
        <v>10</v>
      </c>
      <c r="G587" s="47">
        <f t="shared" si="16"/>
        <v>19644.839999999982</v>
      </c>
      <c r="H587" t="b">
        <f>Table_15[[#This Row],[Temps d''achat]]&gt;9.3</f>
        <v>0</v>
      </c>
      <c r="I587" t="b">
        <f>Table_15[[#This Row],[Temps d''achat]]&lt;4</f>
        <v>1</v>
      </c>
    </row>
    <row r="588" spans="1:9" x14ac:dyDescent="0.35">
      <c r="A588" s="43">
        <v>19</v>
      </c>
      <c r="B588" s="44">
        <v>2.9</v>
      </c>
      <c r="C588" s="45">
        <v>31.65</v>
      </c>
      <c r="D588" s="46" t="s">
        <v>10</v>
      </c>
      <c r="G588" s="47">
        <f t="shared" si="17"/>
        <v>19703.729999999981</v>
      </c>
      <c r="H588" t="b">
        <f>Table_15[[#This Row],[Temps d''achat]]&gt;9.3</f>
        <v>0</v>
      </c>
      <c r="I588" t="b">
        <f>Table_15[[#This Row],[Temps d''achat]]&lt;4</f>
        <v>1</v>
      </c>
    </row>
    <row r="589" spans="1:9" x14ac:dyDescent="0.35">
      <c r="A589" s="39">
        <v>39</v>
      </c>
      <c r="B589" s="40">
        <v>3</v>
      </c>
      <c r="C589" s="41">
        <v>58.89</v>
      </c>
      <c r="D589" s="42" t="s">
        <v>10</v>
      </c>
      <c r="G589" s="47">
        <f t="shared" si="16"/>
        <v>19726.199999999983</v>
      </c>
      <c r="H589" t="b">
        <f>Table_15[[#This Row],[Temps d''achat]]&gt;9.3</f>
        <v>0</v>
      </c>
      <c r="I589" t="b">
        <f>Table_15[[#This Row],[Temps d''achat]]&lt;4</f>
        <v>1</v>
      </c>
    </row>
    <row r="590" spans="1:9" x14ac:dyDescent="0.35">
      <c r="A590" s="43">
        <v>11</v>
      </c>
      <c r="B590" s="44">
        <v>3.5</v>
      </c>
      <c r="C590" s="45">
        <v>22.47</v>
      </c>
      <c r="D590" s="46" t="s">
        <v>10</v>
      </c>
      <c r="G590" s="47">
        <f t="shared" si="17"/>
        <v>19735.999999999982</v>
      </c>
      <c r="H590" t="b">
        <f>Table_15[[#This Row],[Temps d''achat]]&gt;9.3</f>
        <v>0</v>
      </c>
      <c r="I590" t="b">
        <f>Table_15[[#This Row],[Temps d''achat]]&lt;4</f>
        <v>1</v>
      </c>
    </row>
    <row r="591" spans="1:9" x14ac:dyDescent="0.35">
      <c r="A591" s="39">
        <v>15</v>
      </c>
      <c r="B591" s="40">
        <v>2.6</v>
      </c>
      <c r="C591" s="41">
        <v>9.8000000000000007</v>
      </c>
      <c r="D591" s="42" t="s">
        <v>10</v>
      </c>
      <c r="G591" s="47">
        <f t="shared" si="16"/>
        <v>19759.329999999984</v>
      </c>
      <c r="H591" t="b">
        <f>Table_15[[#This Row],[Temps d''achat]]&gt;9.3</f>
        <v>0</v>
      </c>
      <c r="I591" t="b">
        <f>Table_15[[#This Row],[Temps d''achat]]&lt;4</f>
        <v>1</v>
      </c>
    </row>
    <row r="592" spans="1:9" x14ac:dyDescent="0.35">
      <c r="A592" s="43">
        <v>21</v>
      </c>
      <c r="B592" s="44">
        <v>1.5</v>
      </c>
      <c r="C592" s="45">
        <v>23.33</v>
      </c>
      <c r="D592" s="46" t="s">
        <v>10</v>
      </c>
      <c r="G592" s="47">
        <f t="shared" si="17"/>
        <v>19782.829999999984</v>
      </c>
      <c r="H592" t="b">
        <f>Table_15[[#This Row],[Temps d''achat]]&gt;9.3</f>
        <v>0</v>
      </c>
      <c r="I592" t="b">
        <f>Table_15[[#This Row],[Temps d''achat]]&lt;4</f>
        <v>1</v>
      </c>
    </row>
    <row r="593" spans="1:9" x14ac:dyDescent="0.35">
      <c r="A593" s="39">
        <v>19</v>
      </c>
      <c r="B593" s="40">
        <v>3.8</v>
      </c>
      <c r="C593" s="41">
        <v>23.5</v>
      </c>
      <c r="D593" s="42" t="s">
        <v>10</v>
      </c>
      <c r="G593" s="47">
        <f t="shared" si="16"/>
        <v>19801.349999999984</v>
      </c>
      <c r="H593" t="b">
        <f>Table_15[[#This Row],[Temps d''achat]]&gt;9.3</f>
        <v>0</v>
      </c>
      <c r="I593" t="b">
        <f>Table_15[[#This Row],[Temps d''achat]]&lt;4</f>
        <v>1</v>
      </c>
    </row>
    <row r="594" spans="1:9" x14ac:dyDescent="0.35">
      <c r="A594" s="43">
        <v>25</v>
      </c>
      <c r="B594" s="44">
        <v>4</v>
      </c>
      <c r="C594" s="45">
        <v>18.52</v>
      </c>
      <c r="D594" s="46" t="s">
        <v>10</v>
      </c>
      <c r="G594" s="47">
        <f t="shared" si="17"/>
        <v>19842.589999999986</v>
      </c>
      <c r="H594" t="b">
        <f>Table_15[[#This Row],[Temps d''achat]]&gt;9.3</f>
        <v>0</v>
      </c>
      <c r="I594" t="b">
        <f>Table_15[[#This Row],[Temps d''achat]]&lt;4</f>
        <v>0</v>
      </c>
    </row>
    <row r="595" spans="1:9" x14ac:dyDescent="0.35">
      <c r="A595" s="39">
        <v>42</v>
      </c>
      <c r="B595" s="40">
        <v>3.3</v>
      </c>
      <c r="C595" s="41">
        <v>41.24</v>
      </c>
      <c r="D595" s="42" t="s">
        <v>10</v>
      </c>
      <c r="G595" s="47">
        <f t="shared" si="16"/>
        <v>19885.869999999984</v>
      </c>
      <c r="H595" t="b">
        <f>Table_15[[#This Row],[Temps d''achat]]&gt;9.3</f>
        <v>0</v>
      </c>
      <c r="I595" t="b">
        <f>Table_15[[#This Row],[Temps d''achat]]&lt;4</f>
        <v>1</v>
      </c>
    </row>
    <row r="596" spans="1:9" x14ac:dyDescent="0.35">
      <c r="A596" s="43">
        <v>37</v>
      </c>
      <c r="B596" s="44">
        <v>3.3</v>
      </c>
      <c r="C596" s="45">
        <v>43.28</v>
      </c>
      <c r="D596" s="46" t="s">
        <v>10</v>
      </c>
      <c r="G596" s="47">
        <f t="shared" si="17"/>
        <v>19914.189999999984</v>
      </c>
      <c r="H596" t="b">
        <f>Table_15[[#This Row],[Temps d''achat]]&gt;9.3</f>
        <v>0</v>
      </c>
      <c r="I596" t="b">
        <f>Table_15[[#This Row],[Temps d''achat]]&lt;4</f>
        <v>1</v>
      </c>
    </row>
    <row r="597" spans="1:9" x14ac:dyDescent="0.35">
      <c r="A597" s="39">
        <v>36</v>
      </c>
      <c r="B597" s="40">
        <v>1.9</v>
      </c>
      <c r="C597" s="41">
        <v>28.32</v>
      </c>
      <c r="D597" s="42" t="s">
        <v>10</v>
      </c>
      <c r="G597" s="47">
        <f t="shared" si="16"/>
        <v>19940.239999999983</v>
      </c>
      <c r="H597" t="b">
        <f>Table_15[[#This Row],[Temps d''achat]]&gt;9.3</f>
        <v>0</v>
      </c>
      <c r="I597" t="b">
        <f>Table_15[[#This Row],[Temps d''achat]]&lt;4</f>
        <v>1</v>
      </c>
    </row>
    <row r="598" spans="1:9" x14ac:dyDescent="0.35">
      <c r="A598" s="43">
        <v>29</v>
      </c>
      <c r="B598" s="44">
        <v>2.9</v>
      </c>
      <c r="C598" s="45">
        <v>26.05</v>
      </c>
      <c r="D598" s="46" t="s">
        <v>10</v>
      </c>
      <c r="G598" s="47">
        <f t="shared" si="17"/>
        <v>19991.169999999984</v>
      </c>
      <c r="H598" t="b">
        <f>Table_15[[#This Row],[Temps d''achat]]&gt;9.3</f>
        <v>0</v>
      </c>
      <c r="I598" t="b">
        <f>Table_15[[#This Row],[Temps d''achat]]&lt;4</f>
        <v>1</v>
      </c>
    </row>
    <row r="599" spans="1:9" x14ac:dyDescent="0.35">
      <c r="A599" s="39">
        <v>12</v>
      </c>
      <c r="B599" s="40">
        <v>3.9</v>
      </c>
      <c r="C599" s="41">
        <v>50.93</v>
      </c>
      <c r="D599" s="42" t="s">
        <v>10</v>
      </c>
      <c r="G599" s="47">
        <f t="shared" si="16"/>
        <v>20013.759999999984</v>
      </c>
      <c r="H599" t="b">
        <f>Table_15[[#This Row],[Temps d''achat]]&gt;9.3</f>
        <v>0</v>
      </c>
      <c r="I599" t="b">
        <f>Table_15[[#This Row],[Temps d''achat]]&lt;4</f>
        <v>1</v>
      </c>
    </row>
    <row r="600" spans="1:9" x14ac:dyDescent="0.35">
      <c r="A600" s="43">
        <v>9</v>
      </c>
      <c r="B600" s="44">
        <v>2.1</v>
      </c>
      <c r="C600" s="45">
        <v>22.59</v>
      </c>
      <c r="D600" s="46" t="s">
        <v>10</v>
      </c>
      <c r="G600" s="47">
        <f t="shared" si="17"/>
        <v>20048.869999999984</v>
      </c>
      <c r="H600" t="b">
        <f>Table_15[[#This Row],[Temps d''achat]]&gt;9.3</f>
        <v>0</v>
      </c>
      <c r="I600" t="b">
        <f>Table_15[[#This Row],[Temps d''achat]]&lt;4</f>
        <v>1</v>
      </c>
    </row>
    <row r="601" spans="1:9" x14ac:dyDescent="0.35">
      <c r="A601" s="39">
        <v>44</v>
      </c>
      <c r="B601" s="40">
        <v>3.3</v>
      </c>
      <c r="C601" s="41">
        <v>35.11</v>
      </c>
      <c r="D601" s="42" t="s">
        <v>10</v>
      </c>
      <c r="G601" s="47">
        <f t="shared" si="16"/>
        <v>20060.009999999984</v>
      </c>
      <c r="H601" t="b">
        <f>Table_15[[#This Row],[Temps d''achat]]&gt;9.3</f>
        <v>0</v>
      </c>
      <c r="I601" t="b">
        <f>Table_15[[#This Row],[Temps d''achat]]&lt;4</f>
        <v>1</v>
      </c>
    </row>
    <row r="602" spans="1:9" x14ac:dyDescent="0.35">
      <c r="A602" s="43">
        <v>23</v>
      </c>
      <c r="B602" s="44">
        <v>2.8</v>
      </c>
      <c r="C602" s="45">
        <v>11.14</v>
      </c>
      <c r="D602" s="46" t="s">
        <v>10</v>
      </c>
      <c r="G602" s="47">
        <f t="shared" si="17"/>
        <v>20103.179999999982</v>
      </c>
      <c r="H602" t="b">
        <f>Table_15[[#This Row],[Temps d''achat]]&gt;9.3</f>
        <v>0</v>
      </c>
      <c r="I602" t="b">
        <f>Table_15[[#This Row],[Temps d''achat]]&lt;4</f>
        <v>1</v>
      </c>
    </row>
    <row r="603" spans="1:9" x14ac:dyDescent="0.35">
      <c r="A603" s="39">
        <v>39</v>
      </c>
      <c r="B603" s="40">
        <v>2.1</v>
      </c>
      <c r="C603" s="41">
        <v>43.17</v>
      </c>
      <c r="D603" s="42" t="s">
        <v>10</v>
      </c>
      <c r="G603" s="47">
        <f t="shared" si="16"/>
        <v>20115.829999999984</v>
      </c>
      <c r="H603" t="b">
        <f>Table_15[[#This Row],[Temps d''achat]]&gt;9.3</f>
        <v>0</v>
      </c>
      <c r="I603" t="b">
        <f>Table_15[[#This Row],[Temps d''achat]]&lt;4</f>
        <v>1</v>
      </c>
    </row>
    <row r="604" spans="1:9" x14ac:dyDescent="0.35">
      <c r="A604" s="43">
        <v>30</v>
      </c>
      <c r="B604" s="44">
        <v>3.7</v>
      </c>
      <c r="C604" s="45">
        <v>12.65</v>
      </c>
      <c r="D604" s="46" t="s">
        <v>10</v>
      </c>
      <c r="G604" s="47">
        <f t="shared" si="17"/>
        <v>20143.669999999984</v>
      </c>
      <c r="H604" t="b">
        <f>Table_15[[#This Row],[Temps d''achat]]&gt;9.3</f>
        <v>0</v>
      </c>
      <c r="I604" t="b">
        <f>Table_15[[#This Row],[Temps d''achat]]&lt;4</f>
        <v>1</v>
      </c>
    </row>
    <row r="605" spans="1:9" x14ac:dyDescent="0.35">
      <c r="A605" s="39">
        <v>14</v>
      </c>
      <c r="B605" s="40">
        <v>3.9</v>
      </c>
      <c r="C605" s="41">
        <v>27.84</v>
      </c>
      <c r="D605" s="42" t="s">
        <v>10</v>
      </c>
      <c r="G605" s="47">
        <f t="shared" si="16"/>
        <v>20182.279999999984</v>
      </c>
      <c r="H605" t="b">
        <f>Table_15[[#This Row],[Temps d''achat]]&gt;9.3</f>
        <v>0</v>
      </c>
      <c r="I605" t="b">
        <f>Table_15[[#This Row],[Temps d''achat]]&lt;4</f>
        <v>1</v>
      </c>
    </row>
    <row r="606" spans="1:9" x14ac:dyDescent="0.35">
      <c r="A606" s="43">
        <v>27</v>
      </c>
      <c r="B606" s="44">
        <v>1.6</v>
      </c>
      <c r="C606" s="45">
        <v>38.61</v>
      </c>
      <c r="D606" s="46" t="s">
        <v>10</v>
      </c>
      <c r="G606" s="47">
        <f t="shared" si="17"/>
        <v>20199.599999999984</v>
      </c>
      <c r="H606" t="b">
        <f>Table_15[[#This Row],[Temps d''achat]]&gt;9.3</f>
        <v>0</v>
      </c>
      <c r="I606" t="b">
        <f>Table_15[[#This Row],[Temps d''achat]]&lt;4</f>
        <v>1</v>
      </c>
    </row>
    <row r="607" spans="1:9" x14ac:dyDescent="0.35">
      <c r="A607" s="39">
        <v>50</v>
      </c>
      <c r="B607" s="40">
        <v>1.7</v>
      </c>
      <c r="C607" s="41">
        <v>17.32</v>
      </c>
      <c r="D607" s="42" t="s">
        <v>10</v>
      </c>
      <c r="G607" s="47">
        <f t="shared" si="16"/>
        <v>20222.409999999985</v>
      </c>
      <c r="H607" t="b">
        <f>Table_15[[#This Row],[Temps d''achat]]&gt;9.3</f>
        <v>0</v>
      </c>
      <c r="I607" t="b">
        <f>Table_15[[#This Row],[Temps d''achat]]&lt;4</f>
        <v>1</v>
      </c>
    </row>
    <row r="608" spans="1:9" x14ac:dyDescent="0.35">
      <c r="A608" s="43">
        <v>5</v>
      </c>
      <c r="B608" s="44">
        <v>1.5</v>
      </c>
      <c r="C608" s="45">
        <v>22.81</v>
      </c>
      <c r="D608" s="46" t="s">
        <v>10</v>
      </c>
      <c r="G608" s="47">
        <f t="shared" si="17"/>
        <v>20310.159999999985</v>
      </c>
      <c r="H608" t="b">
        <f>Table_15[[#This Row],[Temps d''achat]]&gt;9.3</f>
        <v>0</v>
      </c>
      <c r="I608" t="b">
        <f>Table_15[[#This Row],[Temps d''achat]]&lt;4</f>
        <v>1</v>
      </c>
    </row>
    <row r="609" spans="1:9" x14ac:dyDescent="0.35">
      <c r="A609" s="39">
        <v>36</v>
      </c>
      <c r="B609" s="40">
        <v>11.3</v>
      </c>
      <c r="C609" s="52">
        <v>87.75</v>
      </c>
      <c r="D609" s="42" t="s">
        <v>10</v>
      </c>
      <c r="G609" s="47">
        <f t="shared" ref="G609:G660" si="18">G608+C610</f>
        <v>20405.889999999985</v>
      </c>
      <c r="H609" t="b">
        <f>Table_15[[#This Row],[Temps d''achat]]&gt;9.3</f>
        <v>1</v>
      </c>
      <c r="I609" t="b">
        <f>Table_15[[#This Row],[Temps d''achat]]&lt;4</f>
        <v>0</v>
      </c>
    </row>
    <row r="610" spans="1:9" x14ac:dyDescent="0.35">
      <c r="A610" s="43">
        <v>3</v>
      </c>
      <c r="B610" s="44">
        <v>12</v>
      </c>
      <c r="C610" s="53">
        <v>95.73</v>
      </c>
      <c r="D610" s="46" t="s">
        <v>10</v>
      </c>
      <c r="G610" s="47">
        <f t="shared" ref="G610:G636" si="19">C611+G609</f>
        <v>20516.699999999986</v>
      </c>
      <c r="H610" t="b">
        <f>Table_15[[#This Row],[Temps d''achat]]&gt;9.3</f>
        <v>1</v>
      </c>
      <c r="I610" t="b">
        <f>Table_15[[#This Row],[Temps d''achat]]&lt;4</f>
        <v>0</v>
      </c>
    </row>
    <row r="611" spans="1:9" x14ac:dyDescent="0.35">
      <c r="A611" s="39">
        <v>25</v>
      </c>
      <c r="B611" s="40">
        <v>12.5</v>
      </c>
      <c r="C611" s="52">
        <v>110.81</v>
      </c>
      <c r="D611" s="42" t="s">
        <v>10</v>
      </c>
      <c r="G611" s="47">
        <f t="shared" si="18"/>
        <v>20637.559999999987</v>
      </c>
      <c r="H611" t="b">
        <f>Table_15[[#This Row],[Temps d''achat]]&gt;9.3</f>
        <v>1</v>
      </c>
      <c r="I611" t="b">
        <f>Table_15[[#This Row],[Temps d''achat]]&lt;4</f>
        <v>0</v>
      </c>
    </row>
    <row r="612" spans="1:9" x14ac:dyDescent="0.35">
      <c r="A612" s="43">
        <v>15</v>
      </c>
      <c r="B612" s="44">
        <v>12.6</v>
      </c>
      <c r="C612" s="53">
        <v>120.86</v>
      </c>
      <c r="D612" s="46" t="s">
        <v>10</v>
      </c>
      <c r="G612" s="47">
        <f t="shared" si="19"/>
        <v>20689.379999999986</v>
      </c>
      <c r="H612" t="b">
        <f>Table_15[[#This Row],[Temps d''achat]]&gt;9.3</f>
        <v>1</v>
      </c>
      <c r="I612" t="b">
        <f>Table_15[[#This Row],[Temps d''achat]]&lt;4</f>
        <v>0</v>
      </c>
    </row>
    <row r="613" spans="1:9" x14ac:dyDescent="0.35">
      <c r="A613" s="39">
        <v>13</v>
      </c>
      <c r="B613" s="40">
        <v>10.6</v>
      </c>
      <c r="C613" s="52">
        <v>51.82</v>
      </c>
      <c r="D613" s="42" t="s">
        <v>10</v>
      </c>
      <c r="G613" s="47">
        <f t="shared" si="18"/>
        <v>20777.949999999986</v>
      </c>
      <c r="H613" t="b">
        <f>Table_15[[#This Row],[Temps d''achat]]&gt;9.3</f>
        <v>1</v>
      </c>
      <c r="I613" t="b">
        <f>Table_15[[#This Row],[Temps d''achat]]&lt;4</f>
        <v>0</v>
      </c>
    </row>
    <row r="614" spans="1:9" x14ac:dyDescent="0.35">
      <c r="A614" s="43">
        <v>22</v>
      </c>
      <c r="B614" s="44">
        <v>12.7</v>
      </c>
      <c r="C614" s="53">
        <v>88.57</v>
      </c>
      <c r="D614" s="46" t="s">
        <v>10</v>
      </c>
      <c r="G614" s="47">
        <f t="shared" si="19"/>
        <v>20859.969999999987</v>
      </c>
      <c r="H614" t="b">
        <f>Table_15[[#This Row],[Temps d''achat]]&gt;9.3</f>
        <v>1</v>
      </c>
      <c r="I614" t="b">
        <f>Table_15[[#This Row],[Temps d''achat]]&lt;4</f>
        <v>0</v>
      </c>
    </row>
    <row r="615" spans="1:9" x14ac:dyDescent="0.35">
      <c r="A615" s="39">
        <v>22</v>
      </c>
      <c r="B615" s="40">
        <v>10.7</v>
      </c>
      <c r="C615" s="52">
        <v>82.02</v>
      </c>
      <c r="D615" s="42" t="s">
        <v>10</v>
      </c>
      <c r="G615" s="47">
        <f t="shared" si="18"/>
        <v>20965.579999999987</v>
      </c>
      <c r="H615" t="b">
        <f>Table_15[[#This Row],[Temps d''achat]]&gt;9.3</f>
        <v>1</v>
      </c>
      <c r="I615" t="b">
        <f>Table_15[[#This Row],[Temps d''achat]]&lt;4</f>
        <v>0</v>
      </c>
    </row>
    <row r="616" spans="1:9" x14ac:dyDescent="0.35">
      <c r="A616" s="43">
        <v>39</v>
      </c>
      <c r="B616" s="44">
        <v>12.5</v>
      </c>
      <c r="C616" s="53">
        <v>105.61</v>
      </c>
      <c r="D616" s="46" t="s">
        <v>10</v>
      </c>
      <c r="G616" s="47">
        <f t="shared" si="19"/>
        <v>21049.439999999988</v>
      </c>
      <c r="H616" t="b">
        <f>Table_15[[#This Row],[Temps d''achat]]&gt;9.3</f>
        <v>1</v>
      </c>
      <c r="I616" t="b">
        <f>Table_15[[#This Row],[Temps d''achat]]&lt;4</f>
        <v>0</v>
      </c>
    </row>
    <row r="617" spans="1:9" x14ac:dyDescent="0.35">
      <c r="A617" s="39">
        <v>23</v>
      </c>
      <c r="B617" s="40">
        <v>12.1</v>
      </c>
      <c r="C617" s="52">
        <v>83.86</v>
      </c>
      <c r="D617" s="42" t="s">
        <v>10</v>
      </c>
      <c r="G617" s="47">
        <f t="shared" si="18"/>
        <v>21140.329999999987</v>
      </c>
      <c r="H617" t="b">
        <f>Table_15[[#This Row],[Temps d''achat]]&gt;9.3</f>
        <v>1</v>
      </c>
      <c r="I617" t="b">
        <f>Table_15[[#This Row],[Temps d''achat]]&lt;4</f>
        <v>0</v>
      </c>
    </row>
    <row r="618" spans="1:9" x14ac:dyDescent="0.35">
      <c r="A618" s="43">
        <v>46</v>
      </c>
      <c r="B618" s="44">
        <v>12.2</v>
      </c>
      <c r="C618" s="53">
        <v>90.89</v>
      </c>
      <c r="D618" s="46" t="s">
        <v>10</v>
      </c>
      <c r="G618" s="47">
        <f t="shared" si="19"/>
        <v>21230.009999999987</v>
      </c>
      <c r="H618" t="b">
        <f>Table_15[[#This Row],[Temps d''achat]]&gt;9.3</f>
        <v>1</v>
      </c>
      <c r="I618" t="b">
        <f>Table_15[[#This Row],[Temps d''achat]]&lt;4</f>
        <v>0</v>
      </c>
    </row>
    <row r="619" spans="1:9" x14ac:dyDescent="0.35">
      <c r="A619" s="39">
        <v>19</v>
      </c>
      <c r="B619" s="40">
        <v>12.7</v>
      </c>
      <c r="C619" s="52">
        <v>89.68</v>
      </c>
      <c r="D619" s="42" t="s">
        <v>10</v>
      </c>
      <c r="G619" s="47">
        <f t="shared" si="18"/>
        <v>21333.099999999988</v>
      </c>
      <c r="H619" t="b">
        <f>Table_15[[#This Row],[Temps d''achat]]&gt;9.3</f>
        <v>1</v>
      </c>
      <c r="I619" t="b">
        <f>Table_15[[#This Row],[Temps d''achat]]&lt;4</f>
        <v>0</v>
      </c>
    </row>
    <row r="620" spans="1:9" x14ac:dyDescent="0.35">
      <c r="A620" s="43">
        <v>4</v>
      </c>
      <c r="B620" s="44">
        <v>10.4</v>
      </c>
      <c r="C620" s="53">
        <v>103.09</v>
      </c>
      <c r="D620" s="46" t="s">
        <v>10</v>
      </c>
      <c r="G620" s="47">
        <f t="shared" si="19"/>
        <v>21438.699999999986</v>
      </c>
      <c r="H620" t="b">
        <f>Table_15[[#This Row],[Temps d''achat]]&gt;9.3</f>
        <v>1</v>
      </c>
      <c r="I620" t="b">
        <f>Table_15[[#This Row],[Temps d''achat]]&lt;4</f>
        <v>0</v>
      </c>
    </row>
    <row r="621" spans="1:9" x14ac:dyDescent="0.35">
      <c r="A621" s="39">
        <v>26</v>
      </c>
      <c r="B621" s="40">
        <v>11.8</v>
      </c>
      <c r="C621" s="52">
        <v>105.6</v>
      </c>
      <c r="D621" s="42" t="s">
        <v>10</v>
      </c>
      <c r="G621" s="47">
        <f t="shared" si="18"/>
        <v>21538.299999999985</v>
      </c>
      <c r="H621" t="b">
        <f>Table_15[[#This Row],[Temps d''achat]]&gt;9.3</f>
        <v>1</v>
      </c>
      <c r="I621" t="b">
        <f>Table_15[[#This Row],[Temps d''achat]]&lt;4</f>
        <v>0</v>
      </c>
    </row>
    <row r="622" spans="1:9" x14ac:dyDescent="0.35">
      <c r="A622" s="43">
        <v>22</v>
      </c>
      <c r="B622" s="44">
        <v>11.3</v>
      </c>
      <c r="C622" s="53">
        <v>99.6</v>
      </c>
      <c r="D622" s="46" t="s">
        <v>10</v>
      </c>
      <c r="G622" s="47">
        <f t="shared" si="19"/>
        <v>21633.469999999983</v>
      </c>
      <c r="H622" t="b">
        <f>Table_15[[#This Row],[Temps d''achat]]&gt;9.3</f>
        <v>1</v>
      </c>
      <c r="I622" t="b">
        <f>Table_15[[#This Row],[Temps d''achat]]&lt;4</f>
        <v>0</v>
      </c>
    </row>
    <row r="623" spans="1:9" x14ac:dyDescent="0.35">
      <c r="A623" s="39">
        <v>20</v>
      </c>
      <c r="B623" s="40">
        <v>11.9</v>
      </c>
      <c r="C623" s="52">
        <v>95.17</v>
      </c>
      <c r="D623" s="42" t="s">
        <v>10</v>
      </c>
      <c r="G623" s="47">
        <f t="shared" si="18"/>
        <v>21690.479999999981</v>
      </c>
      <c r="H623" t="b">
        <f>Table_15[[#This Row],[Temps d''achat]]&gt;9.3</f>
        <v>1</v>
      </c>
      <c r="I623" t="b">
        <f>Table_15[[#This Row],[Temps d''achat]]&lt;4</f>
        <v>0</v>
      </c>
    </row>
    <row r="624" spans="1:9" x14ac:dyDescent="0.35">
      <c r="A624" s="43">
        <v>29</v>
      </c>
      <c r="B624" s="44">
        <v>12.2</v>
      </c>
      <c r="C624" s="53">
        <v>57.01</v>
      </c>
      <c r="D624" s="46" t="s">
        <v>10</v>
      </c>
      <c r="G624" s="47">
        <f t="shared" si="19"/>
        <v>21768.679999999982</v>
      </c>
      <c r="H624" t="b">
        <f>Table_15[[#This Row],[Temps d''achat]]&gt;9.3</f>
        <v>1</v>
      </c>
      <c r="I624" t="b">
        <f>Table_15[[#This Row],[Temps d''achat]]&lt;4</f>
        <v>0</v>
      </c>
    </row>
    <row r="625" spans="1:9" x14ac:dyDescent="0.35">
      <c r="A625" s="39">
        <v>45</v>
      </c>
      <c r="B625" s="40">
        <v>11.8</v>
      </c>
      <c r="C625" s="52">
        <v>78.2</v>
      </c>
      <c r="D625" s="42" t="s">
        <v>10</v>
      </c>
      <c r="G625" s="47">
        <f t="shared" si="18"/>
        <v>21872.559999999983</v>
      </c>
      <c r="H625" t="b">
        <f>Table_15[[#This Row],[Temps d''achat]]&gt;9.3</f>
        <v>1</v>
      </c>
      <c r="I625" t="b">
        <f>Table_15[[#This Row],[Temps d''achat]]&lt;4</f>
        <v>0</v>
      </c>
    </row>
    <row r="626" spans="1:9" x14ac:dyDescent="0.35">
      <c r="A626" s="43">
        <v>28</v>
      </c>
      <c r="B626" s="44">
        <v>12.3</v>
      </c>
      <c r="C626" s="53">
        <v>103.88</v>
      </c>
      <c r="D626" s="46" t="s">
        <v>10</v>
      </c>
      <c r="G626" s="47">
        <f t="shared" si="19"/>
        <v>21955.769999999982</v>
      </c>
      <c r="H626" t="b">
        <f>Table_15[[#This Row],[Temps d''achat]]&gt;9.3</f>
        <v>1</v>
      </c>
      <c r="I626" t="b">
        <f>Table_15[[#This Row],[Temps d''achat]]&lt;4</f>
        <v>0</v>
      </c>
    </row>
    <row r="627" spans="1:9" x14ac:dyDescent="0.35">
      <c r="A627" s="39">
        <v>25</v>
      </c>
      <c r="B627" s="40">
        <v>12</v>
      </c>
      <c r="C627" s="52">
        <v>83.21</v>
      </c>
      <c r="D627" s="42" t="s">
        <v>10</v>
      </c>
      <c r="G627" s="47">
        <f t="shared" si="18"/>
        <v>22070.729999999981</v>
      </c>
      <c r="H627" t="b">
        <f>Table_15[[#This Row],[Temps d''achat]]&gt;9.3</f>
        <v>1</v>
      </c>
      <c r="I627" t="b">
        <f>Table_15[[#This Row],[Temps d''achat]]&lt;4</f>
        <v>0</v>
      </c>
    </row>
    <row r="628" spans="1:9" x14ac:dyDescent="0.35">
      <c r="A628" s="43">
        <v>33</v>
      </c>
      <c r="B628" s="44">
        <v>11.9</v>
      </c>
      <c r="C628" s="53">
        <v>114.96</v>
      </c>
      <c r="D628" s="46" t="s">
        <v>10</v>
      </c>
      <c r="G628" s="47">
        <f t="shared" si="19"/>
        <v>22149.959999999981</v>
      </c>
      <c r="H628" t="b">
        <f>Table_15[[#This Row],[Temps d''achat]]&gt;9.3</f>
        <v>1</v>
      </c>
      <c r="I628" t="b">
        <f>Table_15[[#This Row],[Temps d''achat]]&lt;4</f>
        <v>0</v>
      </c>
    </row>
    <row r="629" spans="1:9" x14ac:dyDescent="0.35">
      <c r="A629" s="39">
        <v>16</v>
      </c>
      <c r="B629" s="40">
        <v>11.9</v>
      </c>
      <c r="C629" s="52">
        <v>79.23</v>
      </c>
      <c r="D629" s="42" t="s">
        <v>10</v>
      </c>
      <c r="G629" s="47">
        <f t="shared" si="18"/>
        <v>22195.749999999982</v>
      </c>
      <c r="H629" t="b">
        <f>Table_15[[#This Row],[Temps d''achat]]&gt;9.3</f>
        <v>1</v>
      </c>
      <c r="I629" t="b">
        <f>Table_15[[#This Row],[Temps d''achat]]&lt;4</f>
        <v>0</v>
      </c>
    </row>
    <row r="630" spans="1:9" x14ac:dyDescent="0.35">
      <c r="A630" s="43">
        <v>17</v>
      </c>
      <c r="B630" s="44">
        <v>10.199999999999999</v>
      </c>
      <c r="C630" s="53">
        <v>45.79</v>
      </c>
      <c r="D630" s="46" t="s">
        <v>10</v>
      </c>
      <c r="G630" s="47">
        <f t="shared" si="19"/>
        <v>22252.119999999981</v>
      </c>
      <c r="H630" t="b">
        <f>Table_15[[#This Row],[Temps d''achat]]&gt;9.3</f>
        <v>1</v>
      </c>
      <c r="I630" t="b">
        <f>Table_15[[#This Row],[Temps d''achat]]&lt;4</f>
        <v>0</v>
      </c>
    </row>
    <row r="631" spans="1:9" x14ac:dyDescent="0.35">
      <c r="A631" s="39">
        <v>27</v>
      </c>
      <c r="B631" s="40">
        <v>11.4</v>
      </c>
      <c r="C631" s="52">
        <v>56.37</v>
      </c>
      <c r="D631" s="42" t="s">
        <v>10</v>
      </c>
      <c r="G631" s="47">
        <f t="shared" si="18"/>
        <v>22343.909999999982</v>
      </c>
      <c r="H631" t="b">
        <f>Table_15[[#This Row],[Temps d''achat]]&gt;9.3</f>
        <v>1</v>
      </c>
      <c r="I631" t="b">
        <f>Table_15[[#This Row],[Temps d''achat]]&lt;4</f>
        <v>0</v>
      </c>
    </row>
    <row r="632" spans="1:9" x14ac:dyDescent="0.35">
      <c r="A632" s="43">
        <v>36</v>
      </c>
      <c r="B632" s="44">
        <v>12.8</v>
      </c>
      <c r="C632" s="53">
        <v>91.79</v>
      </c>
      <c r="D632" s="46" t="s">
        <v>10</v>
      </c>
      <c r="G632" s="47">
        <f t="shared" si="19"/>
        <v>22429.279999999981</v>
      </c>
      <c r="H632" t="b">
        <f>Table_15[[#This Row],[Temps d''achat]]&gt;9.3</f>
        <v>1</v>
      </c>
      <c r="I632" t="b">
        <f>Table_15[[#This Row],[Temps d''achat]]&lt;4</f>
        <v>0</v>
      </c>
    </row>
    <row r="633" spans="1:9" x14ac:dyDescent="0.35">
      <c r="A633" s="39">
        <v>21</v>
      </c>
      <c r="B633" s="40">
        <v>10.6</v>
      </c>
      <c r="C633" s="52">
        <v>85.37</v>
      </c>
      <c r="D633" s="42" t="s">
        <v>10</v>
      </c>
      <c r="G633" s="47">
        <f t="shared" si="18"/>
        <v>22526.019999999982</v>
      </c>
      <c r="H633" t="b">
        <f>Table_15[[#This Row],[Temps d''achat]]&gt;9.3</f>
        <v>1</v>
      </c>
      <c r="I633" t="b">
        <f>Table_15[[#This Row],[Temps d''achat]]&lt;4</f>
        <v>0</v>
      </c>
    </row>
    <row r="634" spans="1:9" x14ac:dyDescent="0.35">
      <c r="A634" s="43">
        <v>22</v>
      </c>
      <c r="B634" s="44">
        <v>12.4</v>
      </c>
      <c r="C634" s="53">
        <v>96.74</v>
      </c>
      <c r="D634" s="46" t="s">
        <v>10</v>
      </c>
      <c r="G634" s="47">
        <f t="shared" si="19"/>
        <v>22614.179999999982</v>
      </c>
      <c r="H634" t="b">
        <f>Table_15[[#This Row],[Temps d''achat]]&gt;9.3</f>
        <v>1</v>
      </c>
      <c r="I634" t="b">
        <f>Table_15[[#This Row],[Temps d''achat]]&lt;4</f>
        <v>0</v>
      </c>
    </row>
    <row r="635" spans="1:9" x14ac:dyDescent="0.35">
      <c r="A635" s="39">
        <v>17</v>
      </c>
      <c r="B635" s="40">
        <v>10</v>
      </c>
      <c r="C635" s="52">
        <v>88.16</v>
      </c>
      <c r="D635" s="42" t="s">
        <v>10</v>
      </c>
      <c r="G635" s="47">
        <f t="shared" si="18"/>
        <v>22723.59999999998</v>
      </c>
      <c r="H635" t="b">
        <f>Table_15[[#This Row],[Temps d''achat]]&gt;9.3</f>
        <v>1</v>
      </c>
      <c r="I635" t="b">
        <f>Table_15[[#This Row],[Temps d''achat]]&lt;4</f>
        <v>0</v>
      </c>
    </row>
    <row r="636" spans="1:9" x14ac:dyDescent="0.35">
      <c r="A636" s="43">
        <v>35</v>
      </c>
      <c r="B636" s="44">
        <v>12.4</v>
      </c>
      <c r="C636" s="53">
        <v>109.42</v>
      </c>
      <c r="D636" s="46" t="s">
        <v>10</v>
      </c>
      <c r="G636" s="47">
        <f t="shared" si="19"/>
        <v>22798.569999999982</v>
      </c>
      <c r="H636" t="b">
        <f>Table_15[[#This Row],[Temps d''achat]]&gt;9.3</f>
        <v>1</v>
      </c>
      <c r="I636" t="b">
        <f>Table_15[[#This Row],[Temps d''achat]]&lt;4</f>
        <v>0</v>
      </c>
    </row>
    <row r="637" spans="1:9" x14ac:dyDescent="0.35">
      <c r="A637" s="39">
        <v>23</v>
      </c>
      <c r="B637" s="40">
        <v>11.8</v>
      </c>
      <c r="C637" s="52">
        <v>74.97</v>
      </c>
      <c r="D637" s="42" t="s">
        <v>10</v>
      </c>
      <c r="G637" s="47">
        <f t="shared" si="18"/>
        <v>22899.389999999981</v>
      </c>
      <c r="H637" t="b">
        <f>Table_15[[#This Row],[Temps d''achat]]&gt;9.3</f>
        <v>1</v>
      </c>
      <c r="I637" t="b">
        <f>Table_15[[#This Row],[Temps d''achat]]&lt;4</f>
        <v>0</v>
      </c>
    </row>
    <row r="638" spans="1:9" x14ac:dyDescent="0.35">
      <c r="A638" s="43">
        <v>18</v>
      </c>
      <c r="B638" s="44">
        <v>11.1</v>
      </c>
      <c r="C638" s="53">
        <v>100.82</v>
      </c>
      <c r="D638" s="46" t="s">
        <v>10</v>
      </c>
      <c r="G638" s="47">
        <f t="shared" si="18"/>
        <v>22962.709999999981</v>
      </c>
      <c r="H638" t="b">
        <f>Table_15[[#This Row],[Temps d''achat]]&gt;9.3</f>
        <v>1</v>
      </c>
      <c r="I638" t="b">
        <f>Table_15[[#This Row],[Temps d''achat]]&lt;4</f>
        <v>0</v>
      </c>
    </row>
    <row r="639" spans="1:9" x14ac:dyDescent="0.35">
      <c r="A639" s="39">
        <v>33</v>
      </c>
      <c r="B639" s="40">
        <v>11</v>
      </c>
      <c r="C639" s="52">
        <v>63.32</v>
      </c>
      <c r="D639" s="42" t="s">
        <v>10</v>
      </c>
      <c r="G639" s="47">
        <f t="shared" ref="G639:G659" si="20">C640+G638</f>
        <v>23055.139999999981</v>
      </c>
      <c r="H639" t="b">
        <f>Table_15[[#This Row],[Temps d''achat]]&gt;9.3</f>
        <v>1</v>
      </c>
      <c r="I639" t="b">
        <f>Table_15[[#This Row],[Temps d''achat]]&lt;4</f>
        <v>0</v>
      </c>
    </row>
    <row r="640" spans="1:9" x14ac:dyDescent="0.35">
      <c r="A640" s="43">
        <v>27</v>
      </c>
      <c r="B640" s="44">
        <v>11.3</v>
      </c>
      <c r="C640" s="53">
        <v>92.43</v>
      </c>
      <c r="D640" s="46" t="s">
        <v>10</v>
      </c>
      <c r="G640" s="47">
        <f t="shared" si="18"/>
        <v>23147.219999999983</v>
      </c>
      <c r="H640" t="b">
        <f>Table_15[[#This Row],[Temps d''achat]]&gt;9.3</f>
        <v>1</v>
      </c>
      <c r="I640" t="b">
        <f>Table_15[[#This Row],[Temps d''achat]]&lt;4</f>
        <v>0</v>
      </c>
    </row>
    <row r="641" spans="1:9" x14ac:dyDescent="0.35">
      <c r="A641" s="39">
        <v>30</v>
      </c>
      <c r="B641" s="40">
        <v>12.1</v>
      </c>
      <c r="C641" s="52">
        <v>92.08</v>
      </c>
      <c r="D641" s="42" t="s">
        <v>10</v>
      </c>
      <c r="G641" s="47">
        <f t="shared" si="20"/>
        <v>23240.849999999984</v>
      </c>
      <c r="H641" t="b">
        <f>Table_15[[#This Row],[Temps d''achat]]&gt;9.3</f>
        <v>1</v>
      </c>
      <c r="I641" t="b">
        <f>Table_15[[#This Row],[Temps d''achat]]&lt;4</f>
        <v>0</v>
      </c>
    </row>
    <row r="642" spans="1:9" x14ac:dyDescent="0.35">
      <c r="A642" s="43">
        <v>41</v>
      </c>
      <c r="B642" s="44">
        <v>11.7</v>
      </c>
      <c r="C642" s="53">
        <v>93.63</v>
      </c>
      <c r="D642" s="46" t="s">
        <v>10</v>
      </c>
      <c r="G642" s="47">
        <f t="shared" si="18"/>
        <v>23339.189999999984</v>
      </c>
      <c r="H642" t="b">
        <f>Table_15[[#This Row],[Temps d''achat]]&gt;9.3</f>
        <v>1</v>
      </c>
      <c r="I642" t="b">
        <f>Table_15[[#This Row],[Temps d''achat]]&lt;4</f>
        <v>0</v>
      </c>
    </row>
    <row r="643" spans="1:9" x14ac:dyDescent="0.35">
      <c r="A643" s="39">
        <v>26</v>
      </c>
      <c r="B643" s="40">
        <v>10</v>
      </c>
      <c r="C643" s="52">
        <v>98.34</v>
      </c>
      <c r="D643" s="42" t="s">
        <v>10</v>
      </c>
      <c r="G643" s="47">
        <f t="shared" si="20"/>
        <v>23426.819999999985</v>
      </c>
      <c r="H643" t="b">
        <f>Table_15[[#This Row],[Temps d''achat]]&gt;9.3</f>
        <v>1</v>
      </c>
      <c r="I643" t="b">
        <f>Table_15[[#This Row],[Temps d''achat]]&lt;4</f>
        <v>0</v>
      </c>
    </row>
    <row r="644" spans="1:9" x14ac:dyDescent="0.35">
      <c r="A644" s="43">
        <v>17</v>
      </c>
      <c r="B644" s="44">
        <v>10.1</v>
      </c>
      <c r="C644" s="53">
        <v>87.63</v>
      </c>
      <c r="D644" s="46" t="s">
        <v>10</v>
      </c>
      <c r="G644" s="47">
        <f t="shared" si="18"/>
        <v>23491.319999999985</v>
      </c>
      <c r="H644" t="b">
        <f>Table_15[[#This Row],[Temps d''achat]]&gt;9.3</f>
        <v>1</v>
      </c>
      <c r="I644" t="b">
        <f>Table_15[[#This Row],[Temps d''achat]]&lt;4</f>
        <v>0</v>
      </c>
    </row>
    <row r="645" spans="1:9" x14ac:dyDescent="0.35">
      <c r="A645" s="39">
        <v>10</v>
      </c>
      <c r="B645" s="40">
        <v>11.6</v>
      </c>
      <c r="C645" s="52">
        <v>64.5</v>
      </c>
      <c r="D645" s="42" t="s">
        <v>10</v>
      </c>
      <c r="G645" s="47">
        <f t="shared" si="20"/>
        <v>23571.319999999985</v>
      </c>
      <c r="H645" t="b">
        <f>Table_15[[#This Row],[Temps d''achat]]&gt;9.3</f>
        <v>1</v>
      </c>
      <c r="I645" t="b">
        <f>Table_15[[#This Row],[Temps d''achat]]&lt;4</f>
        <v>0</v>
      </c>
    </row>
    <row r="646" spans="1:9" x14ac:dyDescent="0.35">
      <c r="A646" s="43">
        <v>40</v>
      </c>
      <c r="B646" s="44">
        <v>10.6</v>
      </c>
      <c r="C646" s="53">
        <v>80</v>
      </c>
      <c r="D646" s="46" t="s">
        <v>10</v>
      </c>
      <c r="G646" s="47">
        <f t="shared" si="18"/>
        <v>23671.049999999985</v>
      </c>
      <c r="H646" t="b">
        <f>Table_15[[#This Row],[Temps d''achat]]&gt;9.3</f>
        <v>1</v>
      </c>
      <c r="I646" t="b">
        <f>Table_15[[#This Row],[Temps d''achat]]&lt;4</f>
        <v>0</v>
      </c>
    </row>
    <row r="647" spans="1:9" x14ac:dyDescent="0.35">
      <c r="A647" s="39">
        <v>2</v>
      </c>
      <c r="B647" s="40">
        <v>10.7</v>
      </c>
      <c r="C647" s="52">
        <v>99.73</v>
      </c>
      <c r="D647" s="42" t="s">
        <v>10</v>
      </c>
      <c r="G647" s="47">
        <f t="shared" si="20"/>
        <v>23760.539999999986</v>
      </c>
      <c r="H647" t="b">
        <f>Table_15[[#This Row],[Temps d''achat]]&gt;9.3</f>
        <v>1</v>
      </c>
      <c r="I647" t="b">
        <f>Table_15[[#This Row],[Temps d''achat]]&lt;4</f>
        <v>0</v>
      </c>
    </row>
    <row r="648" spans="1:9" x14ac:dyDescent="0.35">
      <c r="A648" s="43">
        <v>44</v>
      </c>
      <c r="B648" s="44">
        <v>10.3</v>
      </c>
      <c r="C648" s="53">
        <v>89.49</v>
      </c>
      <c r="D648" s="46" t="s">
        <v>10</v>
      </c>
      <c r="G648" s="47">
        <f t="shared" si="18"/>
        <v>23855.929999999986</v>
      </c>
      <c r="H648" t="b">
        <f>Table_15[[#This Row],[Temps d''achat]]&gt;9.3</f>
        <v>1</v>
      </c>
      <c r="I648" t="b">
        <f>Table_15[[#This Row],[Temps d''achat]]&lt;4</f>
        <v>0</v>
      </c>
    </row>
    <row r="649" spans="1:9" x14ac:dyDescent="0.35">
      <c r="A649" s="39">
        <v>31</v>
      </c>
      <c r="B649" s="40">
        <v>11.6</v>
      </c>
      <c r="C649" s="52">
        <v>95.39</v>
      </c>
      <c r="D649" s="42" t="s">
        <v>10</v>
      </c>
      <c r="G649" s="47">
        <f t="shared" si="20"/>
        <v>23949.999999999985</v>
      </c>
      <c r="H649" t="b">
        <f>Table_15[[#This Row],[Temps d''achat]]&gt;9.3</f>
        <v>1</v>
      </c>
      <c r="I649" t="b">
        <f>Table_15[[#This Row],[Temps d''achat]]&lt;4</f>
        <v>0</v>
      </c>
    </row>
    <row r="650" spans="1:9" x14ac:dyDescent="0.35">
      <c r="A650" s="43">
        <v>40</v>
      </c>
      <c r="B650" s="44">
        <v>12.1</v>
      </c>
      <c r="C650" s="53">
        <v>94.07</v>
      </c>
      <c r="D650" s="46" t="s">
        <v>10</v>
      </c>
      <c r="G650" s="47">
        <f t="shared" si="18"/>
        <v>24049.719999999987</v>
      </c>
      <c r="H650" t="b">
        <f>Table_15[[#This Row],[Temps d''achat]]&gt;9.3</f>
        <v>1</v>
      </c>
      <c r="I650" t="b">
        <f>Table_15[[#This Row],[Temps d''achat]]&lt;4</f>
        <v>0</v>
      </c>
    </row>
    <row r="651" spans="1:9" x14ac:dyDescent="0.35">
      <c r="A651" s="39">
        <v>41</v>
      </c>
      <c r="B651" s="40">
        <v>12.5</v>
      </c>
      <c r="C651" s="52">
        <v>99.72</v>
      </c>
      <c r="D651" s="42" t="s">
        <v>10</v>
      </c>
      <c r="G651" s="47">
        <f t="shared" si="20"/>
        <v>24126.849999999988</v>
      </c>
      <c r="H651" t="b">
        <f>Table_15[[#This Row],[Temps d''achat]]&gt;9.3</f>
        <v>1</v>
      </c>
      <c r="I651" t="b">
        <f>Table_15[[#This Row],[Temps d''achat]]&lt;4</f>
        <v>0</v>
      </c>
    </row>
    <row r="652" spans="1:9" x14ac:dyDescent="0.35">
      <c r="A652" s="43">
        <v>15</v>
      </c>
      <c r="B652" s="44">
        <v>10.9</v>
      </c>
      <c r="C652" s="53">
        <v>77.13</v>
      </c>
      <c r="D652" s="46" t="s">
        <v>10</v>
      </c>
      <c r="G652" s="47">
        <f t="shared" si="18"/>
        <v>24194.159999999989</v>
      </c>
      <c r="H652" t="b">
        <f>Table_15[[#This Row],[Temps d''achat]]&gt;9.3</f>
        <v>1</v>
      </c>
      <c r="I652" t="b">
        <f>Table_15[[#This Row],[Temps d''achat]]&lt;4</f>
        <v>0</v>
      </c>
    </row>
    <row r="653" spans="1:9" x14ac:dyDescent="0.35">
      <c r="A653" s="39">
        <v>57</v>
      </c>
      <c r="B653" s="40">
        <v>13</v>
      </c>
      <c r="C653" s="52">
        <v>67.31</v>
      </c>
      <c r="D653" s="42" t="s">
        <v>10</v>
      </c>
      <c r="G653" s="47">
        <f t="shared" si="20"/>
        <v>24312.649999999991</v>
      </c>
      <c r="H653" t="b">
        <f>Table_15[[#This Row],[Temps d''achat]]&gt;9.3</f>
        <v>1</v>
      </c>
      <c r="I653" t="b">
        <f>Table_15[[#This Row],[Temps d''achat]]&lt;4</f>
        <v>0</v>
      </c>
    </row>
    <row r="654" spans="1:9" x14ac:dyDescent="0.35">
      <c r="A654" s="43">
        <v>51</v>
      </c>
      <c r="B654" s="44">
        <v>11.5</v>
      </c>
      <c r="C654" s="53">
        <v>118.49</v>
      </c>
      <c r="D654" s="46" t="s">
        <v>10</v>
      </c>
      <c r="G654" s="47">
        <f t="shared" si="18"/>
        <v>24379.849999999991</v>
      </c>
      <c r="H654" t="b">
        <f>Table_15[[#This Row],[Temps d''achat]]&gt;9.3</f>
        <v>1</v>
      </c>
      <c r="I654" t="b">
        <f>Table_15[[#This Row],[Temps d''achat]]&lt;4</f>
        <v>0</v>
      </c>
    </row>
    <row r="655" spans="1:9" x14ac:dyDescent="0.35">
      <c r="A655" s="39">
        <v>41</v>
      </c>
      <c r="B655" s="40">
        <v>11.1</v>
      </c>
      <c r="C655" s="52">
        <v>67.2</v>
      </c>
      <c r="D655" s="42" t="s">
        <v>10</v>
      </c>
      <c r="G655" s="47">
        <f t="shared" si="20"/>
        <v>24480.399999999991</v>
      </c>
      <c r="H655" t="b">
        <f>Table_15[[#This Row],[Temps d''achat]]&gt;9.3</f>
        <v>1</v>
      </c>
      <c r="I655" t="b">
        <f>Table_15[[#This Row],[Temps d''achat]]&lt;4</f>
        <v>0</v>
      </c>
    </row>
    <row r="656" spans="1:9" ht="20" customHeight="1" x14ac:dyDescent="0.35">
      <c r="A656" s="43">
        <v>41</v>
      </c>
      <c r="B656" s="44">
        <v>12.5</v>
      </c>
      <c r="C656" s="53">
        <v>100.55</v>
      </c>
      <c r="D656" s="46" t="s">
        <v>10</v>
      </c>
      <c r="G656" s="47">
        <f t="shared" si="18"/>
        <v>24559.759999999991</v>
      </c>
      <c r="H656" t="b">
        <f>Table_15[[#This Row],[Temps d''achat]]&gt;9.3</f>
        <v>1</v>
      </c>
      <c r="I656" t="b">
        <f>Table_15[[#This Row],[Temps d''achat]]&lt;4</f>
        <v>0</v>
      </c>
    </row>
    <row r="657" spans="1:9" ht="19.5" customHeight="1" x14ac:dyDescent="0.35">
      <c r="A657" s="39">
        <v>30</v>
      </c>
      <c r="B657" s="40">
        <v>12.2</v>
      </c>
      <c r="C657" s="52">
        <v>79.36</v>
      </c>
      <c r="D657" s="42" t="s">
        <v>10</v>
      </c>
      <c r="G657" s="47">
        <f t="shared" si="20"/>
        <v>24650.419999999991</v>
      </c>
      <c r="H657" t="b">
        <f>Table_15[[#This Row],[Temps d''achat]]&gt;9.3</f>
        <v>1</v>
      </c>
      <c r="I657" t="b">
        <f>Table_15[[#This Row],[Temps d''achat]]&lt;4</f>
        <v>0</v>
      </c>
    </row>
    <row r="658" spans="1:9" ht="17.5" customHeight="1" x14ac:dyDescent="0.35">
      <c r="A658" s="43">
        <v>2</v>
      </c>
      <c r="B658" s="44">
        <v>12.4</v>
      </c>
      <c r="C658" s="53">
        <v>90.66</v>
      </c>
      <c r="D658" s="46" t="s">
        <v>10</v>
      </c>
      <c r="G658" s="47">
        <f t="shared" si="18"/>
        <v>24686.999999999993</v>
      </c>
      <c r="H658" t="b">
        <f>Table_15[[#This Row],[Temps d''achat]]&gt;9.3</f>
        <v>1</v>
      </c>
      <c r="I658" t="b">
        <f>Table_15[[#This Row],[Temps d''achat]]&lt;4</f>
        <v>0</v>
      </c>
    </row>
    <row r="659" spans="1:9" ht="23" customHeight="1" x14ac:dyDescent="0.35">
      <c r="A659" s="39">
        <v>52</v>
      </c>
      <c r="B659" s="40">
        <v>4.1399999999999997</v>
      </c>
      <c r="C659" s="41">
        <v>36.58</v>
      </c>
      <c r="D659" s="42" t="s">
        <v>10</v>
      </c>
      <c r="G659" s="47">
        <f t="shared" si="20"/>
        <v>24795.169999999991</v>
      </c>
      <c r="H659" t="b">
        <f>B659&gt;9.3</f>
        <v>0</v>
      </c>
      <c r="I659" t="b">
        <f>B659&lt;4</f>
        <v>0</v>
      </c>
    </row>
    <row r="660" spans="1:9" x14ac:dyDescent="0.35">
      <c r="A660" s="39">
        <v>31</v>
      </c>
      <c r="B660" s="40">
        <v>9.84</v>
      </c>
      <c r="C660" s="52">
        <v>108.17</v>
      </c>
      <c r="D660" s="42" t="s">
        <v>10</v>
      </c>
      <c r="G660" s="47">
        <f t="shared" si="18"/>
        <v>24898.819999999992</v>
      </c>
      <c r="H660" t="b">
        <f t="shared" ref="H660:H661" si="21">B660&gt;9.3</f>
        <v>1</v>
      </c>
      <c r="I660" t="b">
        <f t="shared" ref="I660:I661" si="22">B660&lt;4</f>
        <v>0</v>
      </c>
    </row>
    <row r="661" spans="1:9" x14ac:dyDescent="0.35">
      <c r="A661" s="39">
        <v>38</v>
      </c>
      <c r="B661" s="40">
        <v>8.56</v>
      </c>
      <c r="C661" s="41">
        <v>103.65</v>
      </c>
      <c r="D661" s="42" t="s">
        <v>10</v>
      </c>
      <c r="H661" t="b">
        <f t="shared" si="21"/>
        <v>0</v>
      </c>
      <c r="I661" t="b">
        <f t="shared" si="22"/>
        <v>0</v>
      </c>
    </row>
  </sheetData>
  <conditionalFormatting sqref="D1:D129 A2:C129 D662:D1048576 A130:D661">
    <cfRule type="containsText" dxfId="14" priority="5" operator="containsText" text="bien de conso">
      <formula>NOT(ISERROR(SEARCH("bien de conso",A1)))</formula>
    </cfRule>
  </conditionalFormatting>
  <conditionalFormatting sqref="B1:B1048576">
    <cfRule type="cellIs" dxfId="13" priority="3" operator="greaterThan">
      <formula>9.3</formula>
    </cfRule>
    <cfRule type="cellIs" dxfId="12" priority="4" operator="lessThan">
      <formula>4</formula>
    </cfRule>
  </conditionalFormatting>
  <conditionalFormatting sqref="C1:C1048576 H1:H1048576">
    <cfRule type="cellIs" dxfId="11" priority="2" operator="equal">
      <formula>TRUE</formula>
    </cfRule>
  </conditionalFormatting>
  <conditionalFormatting sqref="A1:A1048576">
    <cfRule type="cellIs" dxfId="10" priority="1" operator="equal">
      <formula>6</formula>
    </cfRule>
  </conditionalFormatting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07824-0837-47E7-BB24-673624DF8D5B}">
  <sheetPr codeName="Feuil1"/>
  <dimension ref="B2:J17"/>
  <sheetViews>
    <sheetView tabSelected="1" zoomScale="95" zoomScaleNormal="95" workbookViewId="0">
      <selection activeCell="H6" sqref="H6"/>
    </sheetView>
  </sheetViews>
  <sheetFormatPr baseColWidth="10" defaultColWidth="11.54296875" defaultRowHeight="14.5" x14ac:dyDescent="0.35"/>
  <cols>
    <col min="1" max="1" width="11.54296875" style="35"/>
    <col min="2" max="2" width="18.453125" style="35" customWidth="1"/>
    <col min="3" max="3" width="16.81640625" style="35" bestFit="1" customWidth="1"/>
    <col min="4" max="8" width="16.81640625" style="35" customWidth="1"/>
    <col min="9" max="9" width="11.54296875" style="35"/>
    <col min="10" max="10" width="16.81640625" style="35" customWidth="1"/>
    <col min="11" max="16384" width="11.54296875" style="35"/>
  </cols>
  <sheetData>
    <row r="2" spans="2:10" ht="33.5" x14ac:dyDescent="0.75">
      <c r="B2" s="1" t="s">
        <v>0</v>
      </c>
      <c r="C2" s="2"/>
      <c r="D2" s="2"/>
      <c r="E2" s="2"/>
      <c r="F2" s="2"/>
      <c r="G2" s="2"/>
      <c r="H2" s="2"/>
      <c r="I2" s="2"/>
      <c r="J2" s="2"/>
    </row>
    <row r="3" spans="2:10" ht="15" thickBot="1" x14ac:dyDescent="0.4">
      <c r="B3" s="2"/>
      <c r="C3" s="2"/>
      <c r="D3" s="2"/>
      <c r="E3" s="2"/>
      <c r="F3" s="2"/>
      <c r="G3" s="2"/>
      <c r="H3" s="2"/>
      <c r="I3" s="2"/>
      <c r="J3" s="2"/>
    </row>
    <row r="4" spans="2:10" ht="15.5" x14ac:dyDescent="0.35">
      <c r="B4" s="66" t="s">
        <v>1</v>
      </c>
      <c r="C4" s="3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5" t="s">
        <v>7</v>
      </c>
      <c r="I4" s="2"/>
      <c r="J4" s="66" t="s">
        <v>8</v>
      </c>
    </row>
    <row r="5" spans="2:10" ht="16" thickBot="1" x14ac:dyDescent="0.4">
      <c r="B5" s="67"/>
      <c r="C5" s="6"/>
      <c r="D5" s="7"/>
      <c r="E5" s="7"/>
      <c r="F5" s="7"/>
      <c r="G5" s="7"/>
      <c r="H5" s="8"/>
      <c r="I5" s="2"/>
      <c r="J5" s="67"/>
    </row>
    <row r="6" spans="2:10" ht="15.5" x14ac:dyDescent="0.35">
      <c r="B6" s="9" t="s">
        <v>9</v>
      </c>
      <c r="C6" s="10">
        <v>10543</v>
      </c>
      <c r="D6" s="11">
        <v>11458</v>
      </c>
      <c r="E6" s="11">
        <v>13520</v>
      </c>
      <c r="F6" s="11">
        <v>14023</v>
      </c>
      <c r="G6" s="11">
        <v>14983</v>
      </c>
      <c r="H6" s="12">
        <v>14763.9</v>
      </c>
      <c r="I6" s="2"/>
      <c r="J6" s="48">
        <f>SUM(C6,H6,G6,F6,E6,D6)</f>
        <v>79290.899999999994</v>
      </c>
    </row>
    <row r="7" spans="2:10" ht="15.5" x14ac:dyDescent="0.35">
      <c r="B7" s="13" t="s">
        <v>10</v>
      </c>
      <c r="C7" s="14">
        <v>13855</v>
      </c>
      <c r="D7" s="15">
        <v>16052</v>
      </c>
      <c r="E7" s="15">
        <v>16797</v>
      </c>
      <c r="F7" s="15">
        <v>17582</v>
      </c>
      <c r="G7" s="15">
        <v>18216</v>
      </c>
      <c r="H7" s="16">
        <v>24898.82</v>
      </c>
      <c r="I7" s="2"/>
      <c r="J7" s="49">
        <f>C7+D7+E7+F7+G7+H7</f>
        <v>107400.82</v>
      </c>
    </row>
    <row r="8" spans="2:10" ht="16" thickBot="1" x14ac:dyDescent="0.4">
      <c r="B8" s="17" t="s">
        <v>11</v>
      </c>
      <c r="C8" s="18">
        <v>3002</v>
      </c>
      <c r="D8" s="19">
        <v>3769</v>
      </c>
      <c r="E8" s="19">
        <v>4230</v>
      </c>
      <c r="F8" s="19">
        <v>4341</v>
      </c>
      <c r="G8" s="19">
        <v>2713</v>
      </c>
      <c r="H8" s="20">
        <v>0</v>
      </c>
      <c r="I8" s="2"/>
      <c r="J8" s="50">
        <f>C8+D8+E8+F8+G8</f>
        <v>18055</v>
      </c>
    </row>
    <row r="9" spans="2:10" ht="15" thickBot="1" x14ac:dyDescent="0.4">
      <c r="B9" s="2"/>
      <c r="C9" s="2"/>
      <c r="D9" s="2"/>
      <c r="E9" s="2"/>
      <c r="F9" s="2"/>
      <c r="G9" s="2"/>
      <c r="H9" s="2"/>
      <c r="I9" s="2"/>
      <c r="J9" s="2"/>
    </row>
    <row r="10" spans="2:10" ht="16" thickBot="1" x14ac:dyDescent="0.4">
      <c r="B10" s="21" t="s">
        <v>12</v>
      </c>
      <c r="C10" s="22">
        <v>27400</v>
      </c>
      <c r="D10" s="23">
        <v>31279</v>
      </c>
      <c r="E10" s="23">
        <v>34547</v>
      </c>
      <c r="F10" s="23">
        <v>35946</v>
      </c>
      <c r="G10" s="23">
        <v>35912</v>
      </c>
      <c r="H10" s="24">
        <f>H6+H7+H8</f>
        <v>39662.720000000001</v>
      </c>
      <c r="I10" s="2"/>
      <c r="J10" s="51">
        <f>C10+D10+E10+F10+G10+H10</f>
        <v>204746.72</v>
      </c>
    </row>
    <row r="11" spans="2:10" x14ac:dyDescent="0.35">
      <c r="B11" s="2"/>
      <c r="C11" s="2"/>
      <c r="D11" s="2"/>
      <c r="E11" s="2"/>
      <c r="F11" s="2"/>
      <c r="G11" s="2"/>
      <c r="H11" s="2"/>
      <c r="I11" s="2"/>
      <c r="J11" s="2"/>
    </row>
    <row r="12" spans="2:10" x14ac:dyDescent="0.35">
      <c r="B12" s="2"/>
      <c r="C12" s="2"/>
      <c r="D12" s="2"/>
      <c r="E12" s="2"/>
      <c r="F12" s="2"/>
      <c r="G12" s="2"/>
      <c r="H12" s="2"/>
      <c r="I12" s="2"/>
      <c r="J12" s="2"/>
    </row>
    <row r="13" spans="2:10" ht="15" thickBot="1" x14ac:dyDescent="0.4">
      <c r="B13" s="2"/>
      <c r="C13" s="2"/>
      <c r="D13" s="2"/>
      <c r="E13" s="2"/>
      <c r="F13" s="2"/>
      <c r="G13" s="2"/>
      <c r="H13" s="2"/>
      <c r="I13" s="2"/>
      <c r="J13" s="2"/>
    </row>
    <row r="14" spans="2:10" ht="16" thickBot="1" x14ac:dyDescent="0.4">
      <c r="B14" s="25" t="s">
        <v>13</v>
      </c>
      <c r="C14" s="26" t="s">
        <v>14</v>
      </c>
      <c r="D14" s="27" t="s">
        <v>15</v>
      </c>
      <c r="E14" s="2"/>
      <c r="F14" s="2"/>
      <c r="G14" s="28"/>
      <c r="H14" s="2"/>
      <c r="I14" s="2"/>
      <c r="J14" s="2"/>
    </row>
    <row r="15" spans="2:10" x14ac:dyDescent="0.35">
      <c r="B15" s="29" t="s">
        <v>16</v>
      </c>
      <c r="C15" s="30">
        <v>47</v>
      </c>
      <c r="D15" s="31">
        <v>1562.73</v>
      </c>
      <c r="E15" s="2"/>
      <c r="F15" s="2"/>
      <c r="G15" s="2"/>
      <c r="H15" s="2"/>
      <c r="I15" s="2"/>
      <c r="J15" s="2"/>
    </row>
    <row r="16" spans="2:10" ht="15" thickBot="1" x14ac:dyDescent="0.4">
      <c r="B16" s="32" t="s">
        <v>17</v>
      </c>
      <c r="C16" s="33">
        <v>91</v>
      </c>
      <c r="D16" s="34">
        <v>8507.68</v>
      </c>
      <c r="E16" s="2"/>
      <c r="F16" s="2"/>
      <c r="G16" s="2"/>
      <c r="H16" s="2"/>
      <c r="I16" s="2"/>
      <c r="J16" s="2"/>
    </row>
    <row r="17" spans="2:10" x14ac:dyDescent="0.35">
      <c r="B17" s="2"/>
      <c r="C17" s="2"/>
      <c r="D17" s="2"/>
      <c r="E17" s="2"/>
      <c r="F17" s="2"/>
      <c r="G17" s="2"/>
      <c r="H17" s="2"/>
      <c r="I17" s="2"/>
      <c r="J17" s="2"/>
    </row>
  </sheetData>
  <mergeCells count="2">
    <mergeCell ref="B4:B5"/>
    <mergeCell ref="J4:J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CBADB-EB34-4E8F-A2BB-AD12ED0EC506}">
  <sheetPr codeName="Feuil4"/>
  <dimension ref="A1:M661"/>
  <sheetViews>
    <sheetView workbookViewId="0">
      <selection activeCell="L17" sqref="L17"/>
    </sheetView>
  </sheetViews>
  <sheetFormatPr baseColWidth="10" defaultRowHeight="14.5" x14ac:dyDescent="0.35"/>
  <cols>
    <col min="1" max="1" width="10.453125" customWidth="1"/>
    <col min="2" max="2" width="12.81640625" bestFit="1" customWidth="1"/>
    <col min="3" max="3" width="11.1796875" customWidth="1"/>
    <col min="4" max="4" width="13" customWidth="1"/>
    <col min="7" max="7" width="15.54296875" customWidth="1"/>
    <col min="8" max="8" width="17.1796875" customWidth="1"/>
    <col min="9" max="9" width="15.36328125" customWidth="1"/>
    <col min="13" max="13" width="10.90625" customWidth="1"/>
  </cols>
  <sheetData>
    <row r="1" spans="1:13" x14ac:dyDescent="0.35">
      <c r="A1" t="s">
        <v>18</v>
      </c>
      <c r="B1" t="s">
        <v>19</v>
      </c>
      <c r="C1" t="s">
        <v>20</v>
      </c>
      <c r="D1" t="s">
        <v>21</v>
      </c>
    </row>
    <row r="2" spans="1:13" x14ac:dyDescent="0.35">
      <c r="A2">
        <v>16</v>
      </c>
      <c r="B2">
        <v>5.22</v>
      </c>
      <c r="C2">
        <v>48.26</v>
      </c>
      <c r="D2" t="s">
        <v>22</v>
      </c>
      <c r="G2" s="47"/>
      <c r="L2" s="54"/>
      <c r="M2" s="54"/>
    </row>
    <row r="3" spans="1:13" x14ac:dyDescent="0.35">
      <c r="A3">
        <v>52</v>
      </c>
      <c r="B3">
        <v>6.17</v>
      </c>
      <c r="C3">
        <v>55.46</v>
      </c>
      <c r="D3" t="s">
        <v>22</v>
      </c>
      <c r="G3" s="47"/>
    </row>
    <row r="4" spans="1:13" x14ac:dyDescent="0.35">
      <c r="A4">
        <v>58</v>
      </c>
      <c r="B4">
        <v>5.36</v>
      </c>
      <c r="C4">
        <v>53.2</v>
      </c>
      <c r="D4" t="s">
        <v>22</v>
      </c>
      <c r="G4" s="47"/>
    </row>
    <row r="5" spans="1:13" x14ac:dyDescent="0.35">
      <c r="A5">
        <v>11</v>
      </c>
      <c r="B5">
        <v>5.46</v>
      </c>
      <c r="C5">
        <v>47.61</v>
      </c>
      <c r="D5" t="s">
        <v>22</v>
      </c>
      <c r="G5" s="47"/>
    </row>
    <row r="6" spans="1:13" x14ac:dyDescent="0.35">
      <c r="A6">
        <v>25</v>
      </c>
      <c r="B6">
        <v>9.77</v>
      </c>
      <c r="C6">
        <v>81.569999999999993</v>
      </c>
      <c r="D6" t="s">
        <v>22</v>
      </c>
      <c r="G6" s="47"/>
    </row>
    <row r="7" spans="1:13" x14ac:dyDescent="0.35">
      <c r="A7">
        <v>40</v>
      </c>
      <c r="B7">
        <v>6.96</v>
      </c>
      <c r="C7">
        <v>63.5</v>
      </c>
      <c r="D7" t="s">
        <v>22</v>
      </c>
      <c r="G7" s="47"/>
    </row>
    <row r="8" spans="1:13" x14ac:dyDescent="0.35">
      <c r="A8">
        <v>8</v>
      </c>
      <c r="B8">
        <v>5.64</v>
      </c>
      <c r="C8">
        <v>46.17</v>
      </c>
      <c r="D8" t="s">
        <v>22</v>
      </c>
      <c r="G8" s="47"/>
    </row>
    <row r="9" spans="1:13" x14ac:dyDescent="0.35">
      <c r="A9">
        <v>1</v>
      </c>
      <c r="B9">
        <v>4.5599999999999996</v>
      </c>
      <c r="C9">
        <v>46.9</v>
      </c>
      <c r="D9" t="s">
        <v>22</v>
      </c>
      <c r="G9" s="47"/>
    </row>
    <row r="10" spans="1:13" x14ac:dyDescent="0.35">
      <c r="A10">
        <v>36</v>
      </c>
      <c r="B10">
        <v>5.2</v>
      </c>
      <c r="C10">
        <v>39.99</v>
      </c>
      <c r="D10" t="s">
        <v>22</v>
      </c>
      <c r="G10" s="47"/>
    </row>
    <row r="11" spans="1:13" x14ac:dyDescent="0.35">
      <c r="A11">
        <v>14</v>
      </c>
      <c r="B11">
        <v>6.28</v>
      </c>
      <c r="C11">
        <v>58.85</v>
      </c>
      <c r="D11" t="s">
        <v>22</v>
      </c>
      <c r="G11" s="47"/>
    </row>
    <row r="12" spans="1:13" x14ac:dyDescent="0.35">
      <c r="A12">
        <v>17</v>
      </c>
      <c r="B12">
        <v>6.06</v>
      </c>
      <c r="C12">
        <v>55.41</v>
      </c>
      <c r="D12" t="s">
        <v>22</v>
      </c>
      <c r="G12" s="47"/>
    </row>
    <row r="13" spans="1:13" x14ac:dyDescent="0.35">
      <c r="A13">
        <v>19</v>
      </c>
      <c r="B13">
        <v>6.57</v>
      </c>
      <c r="C13">
        <v>64.61</v>
      </c>
      <c r="D13" t="s">
        <v>22</v>
      </c>
      <c r="G13" s="47"/>
    </row>
    <row r="14" spans="1:13" x14ac:dyDescent="0.35">
      <c r="A14">
        <v>36</v>
      </c>
      <c r="B14">
        <v>4.24</v>
      </c>
      <c r="C14">
        <v>45.75</v>
      </c>
      <c r="D14" t="s">
        <v>22</v>
      </c>
      <c r="G14" s="47"/>
    </row>
    <row r="15" spans="1:13" x14ac:dyDescent="0.35">
      <c r="A15">
        <v>45</v>
      </c>
      <c r="B15">
        <v>8.7100000000000009</v>
      </c>
      <c r="C15">
        <v>73.91</v>
      </c>
      <c r="D15" t="s">
        <v>22</v>
      </c>
      <c r="G15" s="47"/>
    </row>
    <row r="16" spans="1:13" x14ac:dyDescent="0.35">
      <c r="A16">
        <v>3</v>
      </c>
      <c r="B16">
        <v>6.22</v>
      </c>
      <c r="C16">
        <v>51.33</v>
      </c>
      <c r="D16" t="s">
        <v>22</v>
      </c>
      <c r="G16" s="47"/>
    </row>
    <row r="17" spans="1:7" x14ac:dyDescent="0.35">
      <c r="A17">
        <v>39</v>
      </c>
      <c r="B17">
        <v>5.47</v>
      </c>
      <c r="C17">
        <v>49.61</v>
      </c>
      <c r="D17" t="s">
        <v>22</v>
      </c>
      <c r="G17" s="47"/>
    </row>
    <row r="18" spans="1:7" x14ac:dyDescent="0.35">
      <c r="A18">
        <v>15</v>
      </c>
      <c r="B18">
        <v>9.98</v>
      </c>
      <c r="C18">
        <v>83.73</v>
      </c>
      <c r="D18" t="s">
        <v>22</v>
      </c>
      <c r="G18" s="47"/>
    </row>
    <row r="19" spans="1:7" x14ac:dyDescent="0.35">
      <c r="A19">
        <v>28</v>
      </c>
      <c r="B19">
        <v>5.39</v>
      </c>
      <c r="C19">
        <v>44.63</v>
      </c>
      <c r="D19" t="s">
        <v>22</v>
      </c>
      <c r="G19" s="47"/>
    </row>
    <row r="20" spans="1:7" x14ac:dyDescent="0.35">
      <c r="A20">
        <v>7</v>
      </c>
      <c r="B20">
        <v>9.9499999999999993</v>
      </c>
      <c r="C20">
        <v>80.989999999999995</v>
      </c>
      <c r="D20" t="s">
        <v>22</v>
      </c>
      <c r="G20" s="47"/>
    </row>
    <row r="21" spans="1:7" x14ac:dyDescent="0.35">
      <c r="A21">
        <v>41</v>
      </c>
      <c r="B21">
        <v>9.23</v>
      </c>
      <c r="C21">
        <v>74.239999999999995</v>
      </c>
      <c r="D21" t="s">
        <v>22</v>
      </c>
      <c r="G21" s="47"/>
    </row>
    <row r="22" spans="1:7" x14ac:dyDescent="0.35">
      <c r="A22">
        <v>18</v>
      </c>
      <c r="B22">
        <v>8.39</v>
      </c>
      <c r="C22">
        <v>72.72</v>
      </c>
      <c r="D22" t="s">
        <v>22</v>
      </c>
      <c r="G22" s="47"/>
    </row>
    <row r="23" spans="1:7" x14ac:dyDescent="0.35">
      <c r="A23">
        <v>23</v>
      </c>
      <c r="B23">
        <v>5.41</v>
      </c>
      <c r="C23">
        <v>44.6</v>
      </c>
      <c r="D23" t="s">
        <v>22</v>
      </c>
      <c r="G23" s="47"/>
    </row>
    <row r="24" spans="1:7" x14ac:dyDescent="0.35">
      <c r="A24">
        <v>7</v>
      </c>
      <c r="B24">
        <v>7.45</v>
      </c>
      <c r="C24">
        <v>57.16</v>
      </c>
      <c r="D24" t="s">
        <v>22</v>
      </c>
      <c r="G24" s="47"/>
    </row>
    <row r="25" spans="1:7" x14ac:dyDescent="0.35">
      <c r="A25">
        <v>43</v>
      </c>
      <c r="B25">
        <v>5.03</v>
      </c>
      <c r="C25">
        <v>41.59</v>
      </c>
      <c r="D25" t="s">
        <v>22</v>
      </c>
      <c r="G25" s="47"/>
    </row>
    <row r="26" spans="1:7" x14ac:dyDescent="0.35">
      <c r="A26">
        <v>14</v>
      </c>
      <c r="B26">
        <v>5.15</v>
      </c>
      <c r="C26">
        <v>52.61</v>
      </c>
      <c r="D26" t="s">
        <v>22</v>
      </c>
      <c r="G26" s="47"/>
    </row>
    <row r="27" spans="1:7" x14ac:dyDescent="0.35">
      <c r="A27">
        <v>7</v>
      </c>
      <c r="B27">
        <v>6.43</v>
      </c>
      <c r="C27">
        <v>54.95</v>
      </c>
      <c r="D27" t="s">
        <v>22</v>
      </c>
      <c r="G27" s="47"/>
    </row>
    <row r="28" spans="1:7" x14ac:dyDescent="0.35">
      <c r="A28">
        <v>39</v>
      </c>
      <c r="B28">
        <v>8.93</v>
      </c>
      <c r="C28">
        <v>72.44</v>
      </c>
      <c r="D28" t="s">
        <v>22</v>
      </c>
      <c r="G28" s="47"/>
    </row>
    <row r="29" spans="1:7" x14ac:dyDescent="0.35">
      <c r="A29">
        <v>12</v>
      </c>
      <c r="B29">
        <v>8.44</v>
      </c>
      <c r="C29">
        <v>68.91</v>
      </c>
      <c r="D29" t="s">
        <v>22</v>
      </c>
      <c r="G29" s="47"/>
    </row>
    <row r="30" spans="1:7" x14ac:dyDescent="0.35">
      <c r="A30">
        <v>31</v>
      </c>
      <c r="B30">
        <v>8.92</v>
      </c>
      <c r="C30">
        <v>77.150000000000006</v>
      </c>
      <c r="D30" t="s">
        <v>22</v>
      </c>
      <c r="G30" s="47"/>
    </row>
    <row r="31" spans="1:7" x14ac:dyDescent="0.35">
      <c r="A31">
        <v>29</v>
      </c>
      <c r="B31">
        <v>5.47</v>
      </c>
      <c r="C31">
        <v>44.4</v>
      </c>
      <c r="D31" t="s">
        <v>22</v>
      </c>
      <c r="G31" s="47"/>
    </row>
    <row r="32" spans="1:7" x14ac:dyDescent="0.35">
      <c r="A32">
        <v>5</v>
      </c>
      <c r="B32">
        <v>7.28</v>
      </c>
      <c r="C32">
        <v>62.93</v>
      </c>
      <c r="D32" t="s">
        <v>22</v>
      </c>
      <c r="G32" s="47"/>
    </row>
    <row r="33" spans="1:7" x14ac:dyDescent="0.35">
      <c r="A33">
        <v>1</v>
      </c>
      <c r="B33">
        <v>4.84</v>
      </c>
      <c r="C33">
        <v>37.46</v>
      </c>
      <c r="D33" t="s">
        <v>22</v>
      </c>
      <c r="G33" s="47"/>
    </row>
    <row r="34" spans="1:7" x14ac:dyDescent="0.35">
      <c r="A34">
        <v>28</v>
      </c>
      <c r="B34">
        <v>7.6</v>
      </c>
      <c r="C34">
        <v>73.75</v>
      </c>
      <c r="D34" t="s">
        <v>22</v>
      </c>
      <c r="G34" s="47"/>
    </row>
    <row r="35" spans="1:7" x14ac:dyDescent="0.35">
      <c r="A35">
        <v>35</v>
      </c>
      <c r="B35">
        <v>9.07</v>
      </c>
      <c r="C35">
        <v>67.150000000000006</v>
      </c>
      <c r="D35" t="s">
        <v>22</v>
      </c>
      <c r="G35" s="47"/>
    </row>
    <row r="36" spans="1:7" x14ac:dyDescent="0.35">
      <c r="A36">
        <v>62</v>
      </c>
      <c r="B36">
        <v>9.91</v>
      </c>
      <c r="C36">
        <v>77.400000000000006</v>
      </c>
      <c r="D36" t="s">
        <v>22</v>
      </c>
      <c r="G36" s="47"/>
    </row>
    <row r="37" spans="1:7" x14ac:dyDescent="0.35">
      <c r="A37">
        <v>31</v>
      </c>
      <c r="B37">
        <v>6.38</v>
      </c>
      <c r="C37">
        <v>63.51</v>
      </c>
      <c r="D37" t="s">
        <v>22</v>
      </c>
      <c r="G37" s="47"/>
    </row>
    <row r="38" spans="1:7" x14ac:dyDescent="0.35">
      <c r="A38">
        <v>3</v>
      </c>
      <c r="B38">
        <v>5.63</v>
      </c>
      <c r="C38">
        <v>51.14</v>
      </c>
      <c r="D38" t="s">
        <v>22</v>
      </c>
      <c r="G38" s="47"/>
    </row>
    <row r="39" spans="1:7" x14ac:dyDescent="0.35">
      <c r="A39">
        <v>53</v>
      </c>
      <c r="B39">
        <v>8.7200000000000006</v>
      </c>
      <c r="C39">
        <v>70.61</v>
      </c>
      <c r="D39" t="s">
        <v>22</v>
      </c>
      <c r="G39" s="47"/>
    </row>
    <row r="40" spans="1:7" x14ac:dyDescent="0.35">
      <c r="A40">
        <v>31</v>
      </c>
      <c r="B40">
        <v>4.55</v>
      </c>
      <c r="C40">
        <v>44.23</v>
      </c>
      <c r="D40" t="s">
        <v>22</v>
      </c>
      <c r="G40" s="47"/>
    </row>
    <row r="41" spans="1:7" x14ac:dyDescent="0.35">
      <c r="A41">
        <v>31</v>
      </c>
      <c r="B41">
        <v>6.55</v>
      </c>
      <c r="C41">
        <v>50.83</v>
      </c>
      <c r="D41" t="s">
        <v>22</v>
      </c>
      <c r="G41" s="47"/>
    </row>
    <row r="42" spans="1:7" x14ac:dyDescent="0.35">
      <c r="A42">
        <v>22</v>
      </c>
      <c r="B42">
        <v>4.1500000000000004</v>
      </c>
      <c r="C42">
        <v>45.83</v>
      </c>
      <c r="D42" t="s">
        <v>22</v>
      </c>
      <c r="G42" s="47"/>
    </row>
    <row r="43" spans="1:7" x14ac:dyDescent="0.35">
      <c r="A43">
        <v>20</v>
      </c>
      <c r="B43">
        <v>6.41</v>
      </c>
      <c r="C43">
        <v>45.66</v>
      </c>
      <c r="D43" t="s">
        <v>22</v>
      </c>
      <c r="G43" s="47"/>
    </row>
    <row r="44" spans="1:7" x14ac:dyDescent="0.35">
      <c r="A44">
        <v>42</v>
      </c>
      <c r="B44">
        <v>7.52</v>
      </c>
      <c r="C44">
        <v>54.57</v>
      </c>
      <c r="D44" t="s">
        <v>22</v>
      </c>
      <c r="G44" s="47"/>
    </row>
    <row r="45" spans="1:7" x14ac:dyDescent="0.35">
      <c r="A45">
        <v>16</v>
      </c>
      <c r="B45">
        <v>5.91</v>
      </c>
      <c r="C45">
        <v>56.36</v>
      </c>
      <c r="D45" t="s">
        <v>22</v>
      </c>
      <c r="G45" s="47"/>
    </row>
    <row r="46" spans="1:7" x14ac:dyDescent="0.35">
      <c r="A46">
        <v>20</v>
      </c>
      <c r="B46">
        <v>8.31</v>
      </c>
      <c r="C46">
        <v>64.02</v>
      </c>
      <c r="D46" t="s">
        <v>22</v>
      </c>
      <c r="G46" s="47"/>
    </row>
    <row r="47" spans="1:7" x14ac:dyDescent="0.35">
      <c r="A47">
        <v>15</v>
      </c>
      <c r="B47">
        <v>9.59</v>
      </c>
      <c r="C47">
        <v>71.150000000000006</v>
      </c>
      <c r="D47" t="s">
        <v>22</v>
      </c>
      <c r="G47" s="47"/>
    </row>
    <row r="48" spans="1:7" x14ac:dyDescent="0.35">
      <c r="A48">
        <v>35</v>
      </c>
      <c r="B48">
        <v>4.88</v>
      </c>
      <c r="C48">
        <v>46.33</v>
      </c>
      <c r="D48" t="s">
        <v>22</v>
      </c>
      <c r="G48" s="47"/>
    </row>
    <row r="49" spans="1:7" x14ac:dyDescent="0.35">
      <c r="A49">
        <v>28</v>
      </c>
      <c r="B49">
        <v>7.21</v>
      </c>
      <c r="C49">
        <v>52.08</v>
      </c>
      <c r="D49" t="s">
        <v>22</v>
      </c>
      <c r="G49" s="47"/>
    </row>
    <row r="50" spans="1:7" x14ac:dyDescent="0.35">
      <c r="A50">
        <v>46</v>
      </c>
      <c r="B50">
        <v>9.93</v>
      </c>
      <c r="C50">
        <v>80.16</v>
      </c>
      <c r="D50" t="s">
        <v>22</v>
      </c>
      <c r="G50" s="47"/>
    </row>
    <row r="51" spans="1:7" x14ac:dyDescent="0.35">
      <c r="A51">
        <v>31</v>
      </c>
      <c r="B51">
        <v>9.6</v>
      </c>
      <c r="C51">
        <v>79.55</v>
      </c>
      <c r="D51" t="s">
        <v>22</v>
      </c>
      <c r="G51" s="47"/>
    </row>
    <row r="52" spans="1:7" x14ac:dyDescent="0.35">
      <c r="A52">
        <v>29</v>
      </c>
      <c r="B52">
        <v>9.02</v>
      </c>
      <c r="C52">
        <v>78.27</v>
      </c>
      <c r="D52" t="s">
        <v>22</v>
      </c>
      <c r="G52" s="47"/>
    </row>
    <row r="53" spans="1:7" x14ac:dyDescent="0.35">
      <c r="A53">
        <v>28</v>
      </c>
      <c r="B53">
        <v>5.34</v>
      </c>
      <c r="C53">
        <v>51.69</v>
      </c>
      <c r="D53" t="s">
        <v>22</v>
      </c>
      <c r="G53" s="47"/>
    </row>
    <row r="54" spans="1:7" x14ac:dyDescent="0.35">
      <c r="A54">
        <v>28</v>
      </c>
      <c r="B54">
        <v>9.49</v>
      </c>
      <c r="C54">
        <v>80.47</v>
      </c>
      <c r="D54" t="s">
        <v>22</v>
      </c>
      <c r="G54" s="47"/>
    </row>
    <row r="55" spans="1:7" x14ac:dyDescent="0.35">
      <c r="A55">
        <v>25</v>
      </c>
      <c r="B55">
        <v>7.98</v>
      </c>
      <c r="C55">
        <v>66.28</v>
      </c>
      <c r="D55" t="s">
        <v>22</v>
      </c>
      <c r="G55" s="47"/>
    </row>
    <row r="56" spans="1:7" x14ac:dyDescent="0.35">
      <c r="A56">
        <v>31</v>
      </c>
      <c r="B56">
        <v>7.33</v>
      </c>
      <c r="C56">
        <v>57</v>
      </c>
      <c r="D56" t="s">
        <v>22</v>
      </c>
      <c r="G56" s="47"/>
    </row>
    <row r="57" spans="1:7" x14ac:dyDescent="0.35">
      <c r="A57">
        <v>19</v>
      </c>
      <c r="B57">
        <v>7.59</v>
      </c>
      <c r="C57">
        <v>58.01</v>
      </c>
      <c r="D57" t="s">
        <v>22</v>
      </c>
      <c r="G57" s="47"/>
    </row>
    <row r="58" spans="1:7" x14ac:dyDescent="0.35">
      <c r="A58">
        <v>38</v>
      </c>
      <c r="B58">
        <v>6.82</v>
      </c>
      <c r="C58">
        <v>52.3</v>
      </c>
      <c r="D58" t="s">
        <v>22</v>
      </c>
      <c r="G58" s="47"/>
    </row>
    <row r="59" spans="1:7" x14ac:dyDescent="0.35">
      <c r="A59">
        <v>67</v>
      </c>
      <c r="B59">
        <v>4.17</v>
      </c>
      <c r="C59">
        <v>38.17</v>
      </c>
      <c r="D59" t="s">
        <v>22</v>
      </c>
      <c r="G59" s="47"/>
    </row>
    <row r="60" spans="1:7" x14ac:dyDescent="0.35">
      <c r="A60">
        <v>24</v>
      </c>
      <c r="B60">
        <v>4.4800000000000004</v>
      </c>
      <c r="C60">
        <v>38.24</v>
      </c>
      <c r="D60" t="s">
        <v>22</v>
      </c>
      <c r="G60" s="47"/>
    </row>
    <row r="61" spans="1:7" x14ac:dyDescent="0.35">
      <c r="A61">
        <v>18</v>
      </c>
      <c r="B61">
        <v>9.1999999999999993</v>
      </c>
      <c r="C61">
        <v>76.39</v>
      </c>
      <c r="D61" t="s">
        <v>22</v>
      </c>
      <c r="G61" s="47"/>
    </row>
    <row r="62" spans="1:7" x14ac:dyDescent="0.35">
      <c r="A62">
        <v>26</v>
      </c>
      <c r="B62">
        <v>8.14</v>
      </c>
      <c r="C62">
        <v>63.07</v>
      </c>
      <c r="D62" t="s">
        <v>22</v>
      </c>
      <c r="G62" s="47"/>
    </row>
    <row r="63" spans="1:7" x14ac:dyDescent="0.35">
      <c r="A63">
        <v>49</v>
      </c>
      <c r="B63">
        <v>6.76</v>
      </c>
      <c r="C63">
        <v>59.39</v>
      </c>
      <c r="D63" t="s">
        <v>22</v>
      </c>
      <c r="G63" s="47"/>
    </row>
    <row r="64" spans="1:7" x14ac:dyDescent="0.35">
      <c r="A64">
        <v>45</v>
      </c>
      <c r="B64">
        <v>4.59</v>
      </c>
      <c r="C64">
        <v>44.25</v>
      </c>
      <c r="D64" t="s">
        <v>22</v>
      </c>
      <c r="G64" s="47"/>
    </row>
    <row r="65" spans="1:7" x14ac:dyDescent="0.35">
      <c r="A65">
        <v>37</v>
      </c>
      <c r="B65">
        <v>8.8000000000000007</v>
      </c>
      <c r="C65">
        <v>68.760000000000005</v>
      </c>
      <c r="D65" t="s">
        <v>22</v>
      </c>
      <c r="G65" s="47"/>
    </row>
    <row r="66" spans="1:7" x14ac:dyDescent="0.35">
      <c r="A66">
        <v>29</v>
      </c>
      <c r="B66">
        <v>6.59</v>
      </c>
      <c r="C66">
        <v>52.87</v>
      </c>
      <c r="D66" t="s">
        <v>22</v>
      </c>
      <c r="G66" s="47"/>
    </row>
    <row r="67" spans="1:7" x14ac:dyDescent="0.35">
      <c r="A67">
        <v>38</v>
      </c>
      <c r="B67">
        <v>4.57</v>
      </c>
      <c r="C67">
        <v>40.86</v>
      </c>
      <c r="D67" t="s">
        <v>22</v>
      </c>
      <c r="G67" s="47"/>
    </row>
    <row r="68" spans="1:7" x14ac:dyDescent="0.35">
      <c r="A68">
        <v>36</v>
      </c>
      <c r="B68">
        <v>6.97</v>
      </c>
      <c r="C68">
        <v>58.86</v>
      </c>
      <c r="D68" t="s">
        <v>22</v>
      </c>
      <c r="G68" s="47"/>
    </row>
    <row r="69" spans="1:7" x14ac:dyDescent="0.35">
      <c r="A69">
        <v>34</v>
      </c>
      <c r="B69">
        <v>6.82</v>
      </c>
      <c r="C69">
        <v>55.6</v>
      </c>
      <c r="D69" t="s">
        <v>22</v>
      </c>
      <c r="G69" s="47"/>
    </row>
    <row r="70" spans="1:7" x14ac:dyDescent="0.35">
      <c r="A70">
        <v>43</v>
      </c>
      <c r="B70">
        <v>5.56</v>
      </c>
      <c r="C70">
        <v>43.2</v>
      </c>
      <c r="D70" t="s">
        <v>22</v>
      </c>
      <c r="G70" s="47"/>
    </row>
    <row r="71" spans="1:7" x14ac:dyDescent="0.35">
      <c r="A71">
        <v>28</v>
      </c>
      <c r="B71">
        <v>5.29</v>
      </c>
      <c r="C71">
        <v>46.77</v>
      </c>
      <c r="D71" t="s">
        <v>22</v>
      </c>
      <c r="G71" s="47"/>
    </row>
    <row r="72" spans="1:7" x14ac:dyDescent="0.35">
      <c r="A72">
        <v>11</v>
      </c>
      <c r="B72">
        <v>6.64</v>
      </c>
      <c r="C72">
        <v>52.51</v>
      </c>
      <c r="D72" t="s">
        <v>22</v>
      </c>
      <c r="G72" s="47"/>
    </row>
    <row r="73" spans="1:7" x14ac:dyDescent="0.35">
      <c r="A73">
        <v>7</v>
      </c>
      <c r="B73">
        <v>7.75</v>
      </c>
      <c r="C73">
        <v>54.28</v>
      </c>
      <c r="D73" t="s">
        <v>22</v>
      </c>
      <c r="G73" s="47"/>
    </row>
    <row r="74" spans="1:7" x14ac:dyDescent="0.35">
      <c r="A74">
        <v>33</v>
      </c>
      <c r="B74">
        <v>6.99</v>
      </c>
      <c r="C74">
        <v>54.32</v>
      </c>
      <c r="D74" t="s">
        <v>22</v>
      </c>
      <c r="G74" s="47"/>
    </row>
    <row r="75" spans="1:7" x14ac:dyDescent="0.35">
      <c r="A75">
        <v>20</v>
      </c>
      <c r="B75">
        <v>7.31</v>
      </c>
      <c r="C75">
        <v>57.02</v>
      </c>
      <c r="D75" t="s">
        <v>22</v>
      </c>
      <c r="G75" s="47"/>
    </row>
    <row r="76" spans="1:7" x14ac:dyDescent="0.35">
      <c r="A76">
        <v>24</v>
      </c>
      <c r="B76">
        <v>8.6</v>
      </c>
      <c r="C76">
        <v>68.48</v>
      </c>
      <c r="D76" t="s">
        <v>22</v>
      </c>
      <c r="G76" s="47"/>
    </row>
    <row r="77" spans="1:7" x14ac:dyDescent="0.35">
      <c r="A77">
        <v>30</v>
      </c>
      <c r="B77">
        <v>4.93</v>
      </c>
      <c r="C77">
        <v>43.97</v>
      </c>
      <c r="D77" t="s">
        <v>22</v>
      </c>
      <c r="G77" s="47"/>
    </row>
    <row r="78" spans="1:7" x14ac:dyDescent="0.35">
      <c r="A78">
        <v>24</v>
      </c>
      <c r="B78">
        <v>4.05</v>
      </c>
      <c r="C78">
        <v>47.74</v>
      </c>
      <c r="D78" t="s">
        <v>22</v>
      </c>
      <c r="G78" s="47"/>
    </row>
    <row r="79" spans="1:7" x14ac:dyDescent="0.35">
      <c r="A79">
        <v>6</v>
      </c>
      <c r="B79">
        <v>9.0500000000000007</v>
      </c>
      <c r="C79">
        <v>77.84</v>
      </c>
      <c r="D79" t="s">
        <v>22</v>
      </c>
      <c r="G79" s="47"/>
    </row>
    <row r="80" spans="1:7" x14ac:dyDescent="0.35">
      <c r="A80">
        <v>36</v>
      </c>
      <c r="B80">
        <v>5.77</v>
      </c>
      <c r="C80">
        <v>46.76</v>
      </c>
      <c r="D80" t="s">
        <v>22</v>
      </c>
      <c r="G80" s="47"/>
    </row>
    <row r="81" spans="1:7" x14ac:dyDescent="0.35">
      <c r="A81">
        <v>26</v>
      </c>
      <c r="B81">
        <v>7.37</v>
      </c>
      <c r="C81">
        <v>69.61</v>
      </c>
      <c r="D81" t="s">
        <v>22</v>
      </c>
      <c r="G81" s="47"/>
    </row>
    <row r="82" spans="1:7" x14ac:dyDescent="0.35">
      <c r="A82">
        <v>6</v>
      </c>
      <c r="B82">
        <v>6.34</v>
      </c>
      <c r="C82">
        <v>52.36</v>
      </c>
      <c r="D82" t="s">
        <v>22</v>
      </c>
      <c r="G82" s="47"/>
    </row>
    <row r="83" spans="1:7" x14ac:dyDescent="0.35">
      <c r="A83">
        <v>41</v>
      </c>
      <c r="B83">
        <v>5.14</v>
      </c>
      <c r="C83">
        <v>46.8</v>
      </c>
      <c r="D83" t="s">
        <v>22</v>
      </c>
      <c r="G83" s="47"/>
    </row>
    <row r="84" spans="1:7" x14ac:dyDescent="0.35">
      <c r="A84">
        <v>5</v>
      </c>
      <c r="B84">
        <v>5.43</v>
      </c>
      <c r="C84">
        <v>39.72</v>
      </c>
      <c r="D84" t="s">
        <v>22</v>
      </c>
      <c r="G84" s="47"/>
    </row>
    <row r="85" spans="1:7" x14ac:dyDescent="0.35">
      <c r="A85">
        <v>6</v>
      </c>
      <c r="B85">
        <v>8.98</v>
      </c>
      <c r="C85">
        <v>72.540000000000006</v>
      </c>
      <c r="D85" t="s">
        <v>22</v>
      </c>
      <c r="G85" s="47"/>
    </row>
    <row r="86" spans="1:7" x14ac:dyDescent="0.35">
      <c r="A86">
        <v>7</v>
      </c>
      <c r="B86">
        <v>8.9600000000000009</v>
      </c>
      <c r="C86">
        <v>79.349999999999994</v>
      </c>
      <c r="D86" t="s">
        <v>22</v>
      </c>
      <c r="G86" s="47"/>
    </row>
    <row r="87" spans="1:7" x14ac:dyDescent="0.35">
      <c r="A87">
        <v>38</v>
      </c>
      <c r="B87">
        <v>7.34</v>
      </c>
      <c r="C87">
        <v>56.7</v>
      </c>
      <c r="D87" t="s">
        <v>22</v>
      </c>
      <c r="G87" s="47"/>
    </row>
    <row r="88" spans="1:7" x14ac:dyDescent="0.35">
      <c r="A88">
        <v>1</v>
      </c>
      <c r="B88">
        <v>6.81</v>
      </c>
      <c r="C88">
        <v>64.599999999999994</v>
      </c>
      <c r="D88" t="s">
        <v>22</v>
      </c>
      <c r="G88" s="47"/>
    </row>
    <row r="89" spans="1:7" x14ac:dyDescent="0.35">
      <c r="A89">
        <v>24</v>
      </c>
      <c r="B89">
        <v>7.9</v>
      </c>
      <c r="C89">
        <v>65.95</v>
      </c>
      <c r="D89" t="s">
        <v>22</v>
      </c>
      <c r="G89" s="47"/>
    </row>
    <row r="90" spans="1:7" x14ac:dyDescent="0.35">
      <c r="A90">
        <v>10</v>
      </c>
      <c r="B90">
        <v>6.69</v>
      </c>
      <c r="C90">
        <v>57.47</v>
      </c>
      <c r="D90" t="s">
        <v>22</v>
      </c>
      <c r="G90" s="47"/>
    </row>
    <row r="91" spans="1:7" x14ac:dyDescent="0.35">
      <c r="A91">
        <v>10</v>
      </c>
      <c r="B91">
        <v>7.21</v>
      </c>
      <c r="C91">
        <v>56.66</v>
      </c>
      <c r="D91" t="s">
        <v>22</v>
      </c>
      <c r="G91" s="47"/>
    </row>
    <row r="92" spans="1:7" x14ac:dyDescent="0.35">
      <c r="A92">
        <v>16</v>
      </c>
      <c r="B92">
        <v>9.15</v>
      </c>
      <c r="C92">
        <v>69.040000000000006</v>
      </c>
      <c r="D92" t="s">
        <v>22</v>
      </c>
      <c r="G92" s="47"/>
    </row>
    <row r="93" spans="1:7" x14ac:dyDescent="0.35">
      <c r="A93">
        <v>23</v>
      </c>
      <c r="B93">
        <v>4.17</v>
      </c>
      <c r="C93">
        <v>39.58</v>
      </c>
      <c r="D93" t="s">
        <v>22</v>
      </c>
      <c r="G93" s="47"/>
    </row>
    <row r="94" spans="1:7" x14ac:dyDescent="0.35">
      <c r="A94">
        <v>35</v>
      </c>
      <c r="B94">
        <v>7.37</v>
      </c>
      <c r="C94">
        <v>57.9</v>
      </c>
      <c r="D94" t="s">
        <v>22</v>
      </c>
      <c r="G94" s="47"/>
    </row>
    <row r="95" spans="1:7" x14ac:dyDescent="0.35">
      <c r="A95">
        <v>6</v>
      </c>
      <c r="B95">
        <v>7.52</v>
      </c>
      <c r="C95">
        <v>63.74</v>
      </c>
      <c r="D95" t="s">
        <v>22</v>
      </c>
      <c r="G95" s="47"/>
    </row>
    <row r="96" spans="1:7" x14ac:dyDescent="0.35">
      <c r="A96">
        <v>24</v>
      </c>
      <c r="B96">
        <v>4.66</v>
      </c>
      <c r="C96">
        <v>38.69</v>
      </c>
      <c r="D96" t="s">
        <v>22</v>
      </c>
      <c r="G96" s="47"/>
    </row>
    <row r="97" spans="1:7" x14ac:dyDescent="0.35">
      <c r="A97">
        <v>34</v>
      </c>
      <c r="B97">
        <v>8.64</v>
      </c>
      <c r="C97">
        <v>65.87</v>
      </c>
      <c r="D97" t="s">
        <v>22</v>
      </c>
      <c r="G97" s="47"/>
    </row>
    <row r="98" spans="1:7" x14ac:dyDescent="0.35">
      <c r="A98">
        <v>26</v>
      </c>
      <c r="B98">
        <v>7.31</v>
      </c>
      <c r="C98">
        <v>62.13</v>
      </c>
      <c r="D98" t="s">
        <v>22</v>
      </c>
      <c r="G98" s="47"/>
    </row>
    <row r="99" spans="1:7" x14ac:dyDescent="0.35">
      <c r="A99">
        <v>34</v>
      </c>
      <c r="B99">
        <v>5.38</v>
      </c>
      <c r="C99">
        <v>50.46</v>
      </c>
      <c r="D99" t="s">
        <v>22</v>
      </c>
      <c r="G99" s="47"/>
    </row>
    <row r="100" spans="1:7" x14ac:dyDescent="0.35">
      <c r="A100">
        <v>18</v>
      </c>
      <c r="B100">
        <v>8.1</v>
      </c>
      <c r="C100">
        <v>77.16</v>
      </c>
      <c r="D100" t="s">
        <v>22</v>
      </c>
      <c r="G100" s="47"/>
    </row>
    <row r="101" spans="1:7" x14ac:dyDescent="0.35">
      <c r="A101">
        <v>18</v>
      </c>
      <c r="B101">
        <v>6.06</v>
      </c>
      <c r="C101">
        <v>52.84</v>
      </c>
      <c r="D101" t="s">
        <v>22</v>
      </c>
      <c r="G101" s="47"/>
    </row>
    <row r="102" spans="1:7" x14ac:dyDescent="0.35">
      <c r="A102">
        <v>22</v>
      </c>
      <c r="B102">
        <v>9.8699999999999992</v>
      </c>
      <c r="C102">
        <v>84.28</v>
      </c>
      <c r="D102" t="s">
        <v>22</v>
      </c>
      <c r="G102" s="47"/>
    </row>
    <row r="103" spans="1:7" x14ac:dyDescent="0.35">
      <c r="A103">
        <v>27</v>
      </c>
      <c r="B103">
        <v>4.7</v>
      </c>
      <c r="C103">
        <v>44.37</v>
      </c>
      <c r="D103" t="s">
        <v>22</v>
      </c>
      <c r="G103" s="47"/>
    </row>
    <row r="104" spans="1:7" x14ac:dyDescent="0.35">
      <c r="A104">
        <v>31</v>
      </c>
      <c r="B104">
        <v>5.87</v>
      </c>
      <c r="C104">
        <v>57.43</v>
      </c>
      <c r="D104" t="s">
        <v>22</v>
      </c>
      <c r="G104" s="47"/>
    </row>
    <row r="105" spans="1:7" x14ac:dyDescent="0.35">
      <c r="A105">
        <v>27</v>
      </c>
      <c r="B105">
        <v>4.84</v>
      </c>
      <c r="C105">
        <v>45.31</v>
      </c>
      <c r="D105" t="s">
        <v>22</v>
      </c>
      <c r="G105" s="47"/>
    </row>
    <row r="106" spans="1:7" x14ac:dyDescent="0.35">
      <c r="A106">
        <v>26</v>
      </c>
      <c r="B106">
        <v>8.6300000000000008</v>
      </c>
      <c r="C106">
        <v>68.959999999999994</v>
      </c>
      <c r="D106" t="s">
        <v>22</v>
      </c>
      <c r="G106" s="47"/>
    </row>
    <row r="107" spans="1:7" x14ac:dyDescent="0.35">
      <c r="A107">
        <v>34</v>
      </c>
      <c r="B107">
        <v>9.94</v>
      </c>
      <c r="C107">
        <v>81.680000000000007</v>
      </c>
      <c r="D107" t="s">
        <v>22</v>
      </c>
      <c r="G107" s="47"/>
    </row>
    <row r="108" spans="1:7" x14ac:dyDescent="0.35">
      <c r="A108">
        <v>18</v>
      </c>
      <c r="B108">
        <v>9.99</v>
      </c>
      <c r="C108">
        <v>75.739999999999995</v>
      </c>
      <c r="D108" t="s">
        <v>22</v>
      </c>
      <c r="G108" s="47"/>
    </row>
    <row r="109" spans="1:7" x14ac:dyDescent="0.35">
      <c r="A109">
        <v>1</v>
      </c>
      <c r="B109">
        <v>5.45</v>
      </c>
      <c r="C109">
        <v>52.45</v>
      </c>
      <c r="D109" t="s">
        <v>22</v>
      </c>
      <c r="G109" s="47"/>
    </row>
    <row r="110" spans="1:7" x14ac:dyDescent="0.35">
      <c r="A110">
        <v>22</v>
      </c>
      <c r="B110">
        <v>8.7200000000000006</v>
      </c>
      <c r="C110">
        <v>68.069999999999993</v>
      </c>
      <c r="D110" t="s">
        <v>22</v>
      </c>
      <c r="G110" s="47"/>
    </row>
    <row r="111" spans="1:7" x14ac:dyDescent="0.35">
      <c r="A111">
        <v>2</v>
      </c>
      <c r="B111">
        <v>4.6399999999999997</v>
      </c>
      <c r="C111">
        <v>51.67</v>
      </c>
      <c r="D111" t="s">
        <v>22</v>
      </c>
      <c r="G111" s="47"/>
    </row>
    <row r="112" spans="1:7" x14ac:dyDescent="0.35">
      <c r="A112">
        <v>18</v>
      </c>
      <c r="B112">
        <v>5.66</v>
      </c>
      <c r="C112">
        <v>48.8</v>
      </c>
      <c r="D112" t="s">
        <v>22</v>
      </c>
      <c r="G112" s="47"/>
    </row>
    <row r="113" spans="1:7" x14ac:dyDescent="0.35">
      <c r="A113">
        <v>36</v>
      </c>
      <c r="B113">
        <v>9.0299999999999994</v>
      </c>
      <c r="C113">
        <v>77.069999999999993</v>
      </c>
      <c r="D113" t="s">
        <v>22</v>
      </c>
      <c r="G113" s="47"/>
    </row>
    <row r="114" spans="1:7" x14ac:dyDescent="0.35">
      <c r="A114">
        <v>20</v>
      </c>
      <c r="B114">
        <v>5.93</v>
      </c>
      <c r="C114">
        <v>53.41</v>
      </c>
      <c r="D114" t="s">
        <v>22</v>
      </c>
      <c r="G114" s="47"/>
    </row>
    <row r="115" spans="1:7" x14ac:dyDescent="0.35">
      <c r="A115">
        <v>20</v>
      </c>
      <c r="B115">
        <v>9.0299999999999994</v>
      </c>
      <c r="C115">
        <v>68.260000000000005</v>
      </c>
      <c r="D115" t="s">
        <v>22</v>
      </c>
      <c r="G115" s="47"/>
    </row>
    <row r="116" spans="1:7" x14ac:dyDescent="0.35">
      <c r="A116">
        <v>48</v>
      </c>
      <c r="B116">
        <v>9.58</v>
      </c>
      <c r="C116">
        <v>77.38</v>
      </c>
      <c r="D116" t="s">
        <v>22</v>
      </c>
      <c r="G116" s="47"/>
    </row>
    <row r="117" spans="1:7" x14ac:dyDescent="0.35">
      <c r="A117">
        <v>27</v>
      </c>
      <c r="B117">
        <v>6.96</v>
      </c>
      <c r="C117">
        <v>65.400000000000006</v>
      </c>
      <c r="D117" t="s">
        <v>22</v>
      </c>
      <c r="G117" s="47"/>
    </row>
    <row r="118" spans="1:7" x14ac:dyDescent="0.35">
      <c r="A118">
        <v>36</v>
      </c>
      <c r="B118">
        <v>8.49</v>
      </c>
      <c r="C118">
        <v>62.51</v>
      </c>
      <c r="D118" t="s">
        <v>22</v>
      </c>
      <c r="G118" s="47"/>
    </row>
    <row r="119" spans="1:7" x14ac:dyDescent="0.35">
      <c r="A119">
        <v>13</v>
      </c>
      <c r="B119">
        <v>7.11</v>
      </c>
      <c r="C119">
        <v>55.07</v>
      </c>
      <c r="D119" t="s">
        <v>22</v>
      </c>
      <c r="G119" s="47"/>
    </row>
    <row r="120" spans="1:7" x14ac:dyDescent="0.35">
      <c r="A120">
        <v>9</v>
      </c>
      <c r="B120">
        <v>5.67</v>
      </c>
      <c r="C120">
        <v>50.27</v>
      </c>
      <c r="D120" t="s">
        <v>22</v>
      </c>
      <c r="G120" s="47"/>
    </row>
    <row r="121" spans="1:7" x14ac:dyDescent="0.35">
      <c r="A121">
        <v>16</v>
      </c>
      <c r="B121">
        <v>4.34</v>
      </c>
      <c r="C121">
        <v>35.799999999999997</v>
      </c>
      <c r="D121" t="s">
        <v>22</v>
      </c>
      <c r="G121" s="47"/>
    </row>
    <row r="122" spans="1:7" x14ac:dyDescent="0.35">
      <c r="A122">
        <v>30</v>
      </c>
      <c r="B122">
        <v>6.72</v>
      </c>
      <c r="C122">
        <v>64.55</v>
      </c>
      <c r="D122" t="s">
        <v>22</v>
      </c>
      <c r="G122" s="47"/>
    </row>
    <row r="123" spans="1:7" x14ac:dyDescent="0.35">
      <c r="A123">
        <v>30</v>
      </c>
      <c r="B123">
        <v>9.18</v>
      </c>
      <c r="C123">
        <v>73.87</v>
      </c>
      <c r="D123" t="s">
        <v>22</v>
      </c>
      <c r="G123" s="47"/>
    </row>
    <row r="124" spans="1:7" x14ac:dyDescent="0.35">
      <c r="A124">
        <v>54</v>
      </c>
      <c r="B124">
        <v>4.32</v>
      </c>
      <c r="C124">
        <v>41.82</v>
      </c>
      <c r="D124" t="s">
        <v>22</v>
      </c>
      <c r="G124" s="47"/>
    </row>
    <row r="125" spans="1:7" x14ac:dyDescent="0.35">
      <c r="A125">
        <v>38</v>
      </c>
      <c r="B125">
        <v>4.28</v>
      </c>
      <c r="C125">
        <v>43.18</v>
      </c>
      <c r="D125" t="s">
        <v>22</v>
      </c>
      <c r="G125" s="47"/>
    </row>
    <row r="126" spans="1:7" x14ac:dyDescent="0.35">
      <c r="A126">
        <v>19</v>
      </c>
      <c r="B126">
        <v>5.0999999999999996</v>
      </c>
      <c r="C126">
        <v>47.22</v>
      </c>
      <c r="D126" t="s">
        <v>22</v>
      </c>
      <c r="G126" s="47"/>
    </row>
    <row r="127" spans="1:7" x14ac:dyDescent="0.35">
      <c r="A127">
        <v>26</v>
      </c>
      <c r="B127">
        <v>6.23</v>
      </c>
      <c r="C127">
        <v>53.91</v>
      </c>
      <c r="D127" t="s">
        <v>22</v>
      </c>
      <c r="G127" s="47"/>
    </row>
    <row r="128" spans="1:7" x14ac:dyDescent="0.35">
      <c r="A128">
        <v>30</v>
      </c>
      <c r="B128">
        <v>6.45</v>
      </c>
      <c r="C128">
        <v>59.74</v>
      </c>
      <c r="D128" t="s">
        <v>22</v>
      </c>
      <c r="G128" s="47"/>
    </row>
    <row r="129" spans="1:7" x14ac:dyDescent="0.35">
      <c r="A129">
        <v>31</v>
      </c>
      <c r="B129">
        <v>9.73</v>
      </c>
      <c r="C129">
        <v>74.14</v>
      </c>
      <c r="D129" t="s">
        <v>22</v>
      </c>
      <c r="G129" s="47"/>
    </row>
    <row r="130" spans="1:7" x14ac:dyDescent="0.35">
      <c r="A130">
        <v>24</v>
      </c>
      <c r="B130">
        <v>9.2799999999999994</v>
      </c>
      <c r="C130">
        <v>76.55</v>
      </c>
      <c r="D130" t="s">
        <v>22</v>
      </c>
      <c r="G130" s="47"/>
    </row>
    <row r="131" spans="1:7" x14ac:dyDescent="0.35">
      <c r="A131">
        <v>10</v>
      </c>
      <c r="B131">
        <v>6.76</v>
      </c>
      <c r="C131">
        <v>37.07</v>
      </c>
      <c r="D131" t="s">
        <v>22</v>
      </c>
      <c r="G131" s="47"/>
    </row>
    <row r="132" spans="1:7" x14ac:dyDescent="0.35">
      <c r="A132">
        <v>25</v>
      </c>
      <c r="B132">
        <v>6.16</v>
      </c>
      <c r="C132">
        <v>71.33</v>
      </c>
      <c r="D132" t="s">
        <v>22</v>
      </c>
      <c r="G132" s="47"/>
    </row>
    <row r="133" spans="1:7" x14ac:dyDescent="0.35">
      <c r="A133">
        <v>38</v>
      </c>
      <c r="B133">
        <v>8.2200000000000006</v>
      </c>
      <c r="C133">
        <v>80.31</v>
      </c>
      <c r="D133" t="s">
        <v>22</v>
      </c>
      <c r="G133" s="47"/>
    </row>
    <row r="134" spans="1:7" x14ac:dyDescent="0.35">
      <c r="A134">
        <v>13</v>
      </c>
      <c r="B134">
        <v>6.16</v>
      </c>
      <c r="C134">
        <v>70.489999999999995</v>
      </c>
      <c r="D134" t="s">
        <v>22</v>
      </c>
      <c r="G134" s="47"/>
    </row>
    <row r="135" spans="1:7" x14ac:dyDescent="0.35">
      <c r="A135">
        <v>31</v>
      </c>
      <c r="B135">
        <v>7.22</v>
      </c>
      <c r="C135">
        <v>28.75</v>
      </c>
      <c r="D135" t="s">
        <v>22</v>
      </c>
      <c r="G135" s="47"/>
    </row>
    <row r="136" spans="1:7" x14ac:dyDescent="0.35">
      <c r="A136">
        <v>37</v>
      </c>
      <c r="B136">
        <v>8.6</v>
      </c>
      <c r="C136">
        <v>43.95</v>
      </c>
      <c r="D136" t="s">
        <v>22</v>
      </c>
      <c r="G136" s="47"/>
    </row>
    <row r="137" spans="1:7" x14ac:dyDescent="0.35">
      <c r="A137">
        <v>14</v>
      </c>
      <c r="B137">
        <v>7.95</v>
      </c>
      <c r="C137">
        <v>85.03</v>
      </c>
      <c r="D137" t="s">
        <v>22</v>
      </c>
      <c r="G137" s="47"/>
    </row>
    <row r="138" spans="1:7" x14ac:dyDescent="0.35">
      <c r="A138">
        <v>7</v>
      </c>
      <c r="B138">
        <v>4.4400000000000004</v>
      </c>
      <c r="C138">
        <v>76.47</v>
      </c>
      <c r="D138" t="s">
        <v>22</v>
      </c>
      <c r="G138" s="47"/>
    </row>
    <row r="139" spans="1:7" x14ac:dyDescent="0.35">
      <c r="A139">
        <v>10</v>
      </c>
      <c r="B139">
        <v>9.75</v>
      </c>
      <c r="C139">
        <v>51.12</v>
      </c>
      <c r="D139" t="s">
        <v>22</v>
      </c>
      <c r="G139" s="47"/>
    </row>
    <row r="140" spans="1:7" x14ac:dyDescent="0.35">
      <c r="A140">
        <v>12</v>
      </c>
      <c r="B140">
        <v>9.07</v>
      </c>
      <c r="C140">
        <v>68.02</v>
      </c>
      <c r="D140" t="s">
        <v>22</v>
      </c>
      <c r="G140" s="47"/>
    </row>
    <row r="141" spans="1:7" x14ac:dyDescent="0.35">
      <c r="A141">
        <v>34</v>
      </c>
      <c r="B141">
        <v>4.93</v>
      </c>
      <c r="C141">
        <v>65.16</v>
      </c>
      <c r="D141" t="s">
        <v>22</v>
      </c>
      <c r="G141" s="47"/>
    </row>
    <row r="142" spans="1:7" x14ac:dyDescent="0.35">
      <c r="A142">
        <v>26</v>
      </c>
      <c r="B142">
        <v>4.76</v>
      </c>
      <c r="C142">
        <v>58</v>
      </c>
      <c r="D142" t="s">
        <v>22</v>
      </c>
      <c r="G142" s="47"/>
    </row>
    <row r="143" spans="1:7" x14ac:dyDescent="0.35">
      <c r="A143">
        <v>29</v>
      </c>
      <c r="B143">
        <v>5.96</v>
      </c>
      <c r="C143">
        <v>55.1</v>
      </c>
      <c r="D143" t="s">
        <v>22</v>
      </c>
      <c r="G143" s="47"/>
    </row>
    <row r="144" spans="1:7" x14ac:dyDescent="0.35">
      <c r="A144">
        <v>23</v>
      </c>
      <c r="B144">
        <v>4.54</v>
      </c>
      <c r="C144">
        <v>21.1</v>
      </c>
      <c r="D144" t="s">
        <v>22</v>
      </c>
      <c r="G144" s="47"/>
    </row>
    <row r="145" spans="1:7" x14ac:dyDescent="0.35">
      <c r="A145">
        <v>34</v>
      </c>
      <c r="B145">
        <v>6.12</v>
      </c>
      <c r="C145">
        <v>49.54</v>
      </c>
      <c r="D145" t="s">
        <v>22</v>
      </c>
      <c r="G145" s="47"/>
    </row>
    <row r="146" spans="1:7" x14ac:dyDescent="0.35">
      <c r="A146">
        <v>17</v>
      </c>
      <c r="B146">
        <v>5.35</v>
      </c>
      <c r="C146">
        <v>40.880000000000003</v>
      </c>
      <c r="D146" t="s">
        <v>22</v>
      </c>
      <c r="G146" s="47"/>
    </row>
    <row r="147" spans="1:7" x14ac:dyDescent="0.35">
      <c r="A147">
        <v>38</v>
      </c>
      <c r="B147">
        <v>8.39</v>
      </c>
      <c r="C147">
        <v>27.64</v>
      </c>
      <c r="D147" t="s">
        <v>22</v>
      </c>
      <c r="G147" s="47"/>
    </row>
    <row r="148" spans="1:7" x14ac:dyDescent="0.35">
      <c r="A148">
        <v>36</v>
      </c>
      <c r="B148">
        <v>9.35</v>
      </c>
      <c r="C148">
        <v>96.31</v>
      </c>
      <c r="D148" t="s">
        <v>22</v>
      </c>
      <c r="G148" s="47"/>
    </row>
    <row r="149" spans="1:7" x14ac:dyDescent="0.35">
      <c r="A149">
        <v>24</v>
      </c>
      <c r="B149">
        <v>5.0599999999999996</v>
      </c>
      <c r="C149">
        <v>96.03</v>
      </c>
      <c r="D149" t="s">
        <v>22</v>
      </c>
      <c r="G149" s="47"/>
    </row>
    <row r="150" spans="1:7" x14ac:dyDescent="0.35">
      <c r="A150">
        <v>14</v>
      </c>
      <c r="B150">
        <v>7.18</v>
      </c>
      <c r="C150">
        <v>77.290000000000006</v>
      </c>
      <c r="D150" t="s">
        <v>22</v>
      </c>
      <c r="G150" s="47"/>
    </row>
    <row r="151" spans="1:7" x14ac:dyDescent="0.35">
      <c r="A151">
        <v>46</v>
      </c>
      <c r="B151">
        <v>7.22</v>
      </c>
      <c r="C151">
        <v>61.92</v>
      </c>
      <c r="D151" t="s">
        <v>22</v>
      </c>
      <c r="G151" s="47"/>
    </row>
    <row r="152" spans="1:7" x14ac:dyDescent="0.35">
      <c r="A152">
        <v>43</v>
      </c>
      <c r="B152">
        <v>9.27</v>
      </c>
      <c r="C152">
        <v>63.57</v>
      </c>
      <c r="D152" t="s">
        <v>22</v>
      </c>
      <c r="G152" s="47"/>
    </row>
    <row r="153" spans="1:7" x14ac:dyDescent="0.35">
      <c r="A153">
        <v>44</v>
      </c>
      <c r="B153">
        <v>9.9600000000000009</v>
      </c>
      <c r="C153">
        <v>78.3</v>
      </c>
      <c r="D153" t="s">
        <v>22</v>
      </c>
      <c r="G153" s="47"/>
    </row>
    <row r="154" spans="1:7" x14ac:dyDescent="0.35">
      <c r="A154">
        <v>43</v>
      </c>
      <c r="B154">
        <v>4.68</v>
      </c>
      <c r="C154">
        <v>50.07</v>
      </c>
      <c r="D154" t="s">
        <v>22</v>
      </c>
      <c r="G154" s="47"/>
    </row>
    <row r="155" spans="1:7" x14ac:dyDescent="0.35">
      <c r="A155">
        <v>34</v>
      </c>
      <c r="B155">
        <v>5.15</v>
      </c>
      <c r="C155">
        <v>51.35</v>
      </c>
      <c r="D155" t="s">
        <v>22</v>
      </c>
      <c r="G155" s="47"/>
    </row>
    <row r="156" spans="1:7" x14ac:dyDescent="0.35">
      <c r="A156">
        <v>16</v>
      </c>
      <c r="B156">
        <v>9.65</v>
      </c>
      <c r="C156">
        <v>53.41</v>
      </c>
      <c r="D156" t="s">
        <v>22</v>
      </c>
      <c r="G156" s="47"/>
    </row>
    <row r="157" spans="1:7" x14ac:dyDescent="0.35">
      <c r="A157">
        <v>30</v>
      </c>
      <c r="B157">
        <v>8.61</v>
      </c>
      <c r="C157">
        <v>52.91</v>
      </c>
      <c r="D157" t="s">
        <v>22</v>
      </c>
      <c r="G157" s="47"/>
    </row>
    <row r="158" spans="1:7" x14ac:dyDescent="0.35">
      <c r="A158">
        <v>26</v>
      </c>
      <c r="B158">
        <v>6.21</v>
      </c>
      <c r="C158">
        <v>65.28</v>
      </c>
      <c r="D158" t="s">
        <v>22</v>
      </c>
      <c r="G158" s="47"/>
    </row>
    <row r="159" spans="1:7" x14ac:dyDescent="0.35">
      <c r="A159">
        <v>35</v>
      </c>
      <c r="B159">
        <v>8.3800000000000008</v>
      </c>
      <c r="C159">
        <v>100.78</v>
      </c>
      <c r="D159" t="s">
        <v>22</v>
      </c>
      <c r="G159" s="47"/>
    </row>
    <row r="160" spans="1:7" x14ac:dyDescent="0.35">
      <c r="A160">
        <v>51</v>
      </c>
      <c r="B160">
        <v>6.86</v>
      </c>
      <c r="C160">
        <v>74.760000000000005</v>
      </c>
      <c r="D160" t="s">
        <v>22</v>
      </c>
      <c r="G160" s="47"/>
    </row>
    <row r="161" spans="1:7" x14ac:dyDescent="0.35">
      <c r="A161">
        <v>27</v>
      </c>
      <c r="B161">
        <v>7.7</v>
      </c>
      <c r="C161">
        <v>53.96</v>
      </c>
      <c r="D161" t="s">
        <v>22</v>
      </c>
      <c r="G161" s="47"/>
    </row>
    <row r="162" spans="1:7" x14ac:dyDescent="0.35">
      <c r="A162">
        <v>39</v>
      </c>
      <c r="B162">
        <v>8.02</v>
      </c>
      <c r="C162">
        <v>62.53</v>
      </c>
      <c r="D162" t="s">
        <v>22</v>
      </c>
      <c r="G162" s="47"/>
    </row>
    <row r="163" spans="1:7" x14ac:dyDescent="0.35">
      <c r="A163">
        <v>26</v>
      </c>
      <c r="B163">
        <v>9.2100000000000009</v>
      </c>
      <c r="C163">
        <v>83.15</v>
      </c>
      <c r="D163" t="s">
        <v>22</v>
      </c>
      <c r="G163" s="47"/>
    </row>
    <row r="164" spans="1:7" x14ac:dyDescent="0.35">
      <c r="A164">
        <v>13</v>
      </c>
      <c r="B164">
        <v>8.24</v>
      </c>
      <c r="C164">
        <v>76.959999999999994</v>
      </c>
      <c r="D164" t="s">
        <v>22</v>
      </c>
      <c r="G164" s="47"/>
    </row>
    <row r="165" spans="1:7" x14ac:dyDescent="0.35">
      <c r="A165">
        <v>27</v>
      </c>
      <c r="B165">
        <v>6.63</v>
      </c>
      <c r="C165">
        <v>54.57</v>
      </c>
      <c r="D165" t="s">
        <v>22</v>
      </c>
      <c r="G165" s="47"/>
    </row>
    <row r="166" spans="1:7" x14ac:dyDescent="0.35">
      <c r="A166">
        <v>16</v>
      </c>
      <c r="B166">
        <v>8.2899999999999991</v>
      </c>
      <c r="C166">
        <v>115.29</v>
      </c>
      <c r="D166" t="s">
        <v>22</v>
      </c>
      <c r="G166" s="47"/>
    </row>
    <row r="167" spans="1:7" x14ac:dyDescent="0.35">
      <c r="A167">
        <v>23</v>
      </c>
      <c r="B167">
        <v>8.65</v>
      </c>
      <c r="C167">
        <v>88.43</v>
      </c>
      <c r="D167" t="s">
        <v>22</v>
      </c>
      <c r="G167" s="47"/>
    </row>
    <row r="168" spans="1:7" x14ac:dyDescent="0.35">
      <c r="A168">
        <v>47</v>
      </c>
      <c r="B168">
        <v>9.2100000000000009</v>
      </c>
      <c r="C168">
        <v>62.31</v>
      </c>
      <c r="D168" t="s">
        <v>22</v>
      </c>
      <c r="G168" s="47"/>
    </row>
    <row r="169" spans="1:7" x14ac:dyDescent="0.35">
      <c r="A169">
        <v>17</v>
      </c>
      <c r="B169">
        <v>9.0500000000000007</v>
      </c>
      <c r="C169">
        <v>29.32</v>
      </c>
      <c r="D169" t="s">
        <v>22</v>
      </c>
      <c r="G169" s="47"/>
    </row>
    <row r="170" spans="1:7" x14ac:dyDescent="0.35">
      <c r="A170">
        <v>3</v>
      </c>
      <c r="B170">
        <v>7.71</v>
      </c>
      <c r="C170">
        <v>67.36</v>
      </c>
      <c r="D170" t="s">
        <v>22</v>
      </c>
      <c r="G170" s="47"/>
    </row>
    <row r="171" spans="1:7" x14ac:dyDescent="0.35">
      <c r="A171">
        <v>38</v>
      </c>
      <c r="B171">
        <v>8.75</v>
      </c>
      <c r="C171">
        <v>88.53</v>
      </c>
      <c r="D171" t="s">
        <v>22</v>
      </c>
      <c r="G171" s="47"/>
    </row>
    <row r="172" spans="1:7" x14ac:dyDescent="0.35">
      <c r="A172">
        <v>28</v>
      </c>
      <c r="B172">
        <v>7.97</v>
      </c>
      <c r="C172">
        <v>52.97</v>
      </c>
      <c r="D172" t="s">
        <v>22</v>
      </c>
      <c r="G172" s="47"/>
    </row>
    <row r="173" spans="1:7" x14ac:dyDescent="0.35">
      <c r="A173">
        <v>47</v>
      </c>
      <c r="B173">
        <v>7.59</v>
      </c>
      <c r="C173">
        <v>83.57</v>
      </c>
      <c r="D173" t="s">
        <v>22</v>
      </c>
      <c r="G173" s="47"/>
    </row>
    <row r="174" spans="1:7" x14ac:dyDescent="0.35">
      <c r="A174">
        <v>23</v>
      </c>
      <c r="B174">
        <v>8.18</v>
      </c>
      <c r="C174">
        <v>92.48</v>
      </c>
      <c r="D174" t="s">
        <v>22</v>
      </c>
      <c r="G174" s="47"/>
    </row>
    <row r="175" spans="1:7" x14ac:dyDescent="0.35">
      <c r="A175">
        <v>27</v>
      </c>
      <c r="B175">
        <v>9.25</v>
      </c>
      <c r="C175">
        <v>66.709999999999994</v>
      </c>
      <c r="D175" t="s">
        <v>22</v>
      </c>
      <c r="G175" s="47"/>
    </row>
    <row r="176" spans="1:7" x14ac:dyDescent="0.35">
      <c r="A176">
        <v>30</v>
      </c>
      <c r="B176">
        <v>4.54</v>
      </c>
      <c r="C176">
        <v>42.01</v>
      </c>
      <c r="D176" t="s">
        <v>22</v>
      </c>
      <c r="G176" s="47"/>
    </row>
    <row r="177" spans="1:7" x14ac:dyDescent="0.35">
      <c r="A177">
        <v>35</v>
      </c>
      <c r="B177">
        <v>4.68</v>
      </c>
      <c r="C177">
        <v>49.81</v>
      </c>
      <c r="D177" t="s">
        <v>22</v>
      </c>
      <c r="G177" s="47"/>
    </row>
    <row r="178" spans="1:7" x14ac:dyDescent="0.35">
      <c r="A178">
        <v>25</v>
      </c>
      <c r="B178">
        <v>8.39</v>
      </c>
      <c r="C178">
        <v>56.55</v>
      </c>
      <c r="D178" t="s">
        <v>22</v>
      </c>
      <c r="G178" s="47"/>
    </row>
    <row r="179" spans="1:7" x14ac:dyDescent="0.35">
      <c r="A179">
        <v>34</v>
      </c>
      <c r="B179">
        <v>4.03</v>
      </c>
      <c r="C179">
        <v>44.21</v>
      </c>
      <c r="D179" t="s">
        <v>22</v>
      </c>
      <c r="G179" s="47"/>
    </row>
    <row r="180" spans="1:7" x14ac:dyDescent="0.35">
      <c r="A180">
        <v>9</v>
      </c>
      <c r="B180">
        <v>9.9600000000000009</v>
      </c>
      <c r="C180">
        <v>50.61</v>
      </c>
      <c r="D180" t="s">
        <v>22</v>
      </c>
      <c r="G180" s="47"/>
    </row>
    <row r="181" spans="1:7" x14ac:dyDescent="0.35">
      <c r="A181">
        <v>30</v>
      </c>
      <c r="B181">
        <v>4.1500000000000004</v>
      </c>
      <c r="C181">
        <v>60.58</v>
      </c>
      <c r="D181" t="s">
        <v>22</v>
      </c>
      <c r="G181" s="47"/>
    </row>
    <row r="182" spans="1:7" x14ac:dyDescent="0.35">
      <c r="A182">
        <v>54</v>
      </c>
      <c r="B182">
        <v>7.58</v>
      </c>
      <c r="C182">
        <v>44.09</v>
      </c>
      <c r="D182" t="s">
        <v>22</v>
      </c>
      <c r="G182" s="47"/>
    </row>
    <row r="183" spans="1:7" x14ac:dyDescent="0.35">
      <c r="A183">
        <v>18</v>
      </c>
      <c r="B183">
        <v>7.54</v>
      </c>
      <c r="C183">
        <v>75.03</v>
      </c>
      <c r="D183" t="s">
        <v>22</v>
      </c>
      <c r="G183" s="47"/>
    </row>
    <row r="184" spans="1:7" x14ac:dyDescent="0.35">
      <c r="A184">
        <v>51</v>
      </c>
      <c r="B184">
        <v>5.25</v>
      </c>
      <c r="C184">
        <v>44.82</v>
      </c>
      <c r="D184" t="s">
        <v>22</v>
      </c>
      <c r="G184" s="47"/>
    </row>
    <row r="185" spans="1:7" x14ac:dyDescent="0.35">
      <c r="A185">
        <v>38</v>
      </c>
      <c r="B185">
        <v>7.21</v>
      </c>
      <c r="C185">
        <v>86.23</v>
      </c>
      <c r="D185" t="s">
        <v>22</v>
      </c>
      <c r="G185" s="47"/>
    </row>
    <row r="186" spans="1:7" x14ac:dyDescent="0.35">
      <c r="A186">
        <v>4</v>
      </c>
      <c r="B186">
        <v>9.42</v>
      </c>
      <c r="C186">
        <v>75.459999999999994</v>
      </c>
      <c r="D186" t="s">
        <v>22</v>
      </c>
      <c r="G186" s="47"/>
    </row>
    <row r="187" spans="1:7" x14ac:dyDescent="0.35">
      <c r="A187">
        <v>23</v>
      </c>
      <c r="B187">
        <v>6.68</v>
      </c>
      <c r="C187">
        <v>33.049999999999997</v>
      </c>
      <c r="D187" t="s">
        <v>22</v>
      </c>
      <c r="G187" s="47"/>
    </row>
    <row r="188" spans="1:7" x14ac:dyDescent="0.35">
      <c r="A188">
        <v>26</v>
      </c>
      <c r="B188">
        <v>5.78</v>
      </c>
      <c r="C188">
        <v>87.4</v>
      </c>
      <c r="D188" t="s">
        <v>22</v>
      </c>
      <c r="G188" s="47"/>
    </row>
    <row r="189" spans="1:7" x14ac:dyDescent="0.35">
      <c r="A189">
        <v>47</v>
      </c>
      <c r="B189">
        <v>5.23</v>
      </c>
      <c r="C189">
        <v>40.19</v>
      </c>
      <c r="D189" t="s">
        <v>22</v>
      </c>
      <c r="G189" s="47"/>
    </row>
    <row r="190" spans="1:7" x14ac:dyDescent="0.35">
      <c r="A190">
        <v>22</v>
      </c>
      <c r="B190">
        <v>4.38</v>
      </c>
      <c r="C190">
        <v>43.95</v>
      </c>
      <c r="D190" t="s">
        <v>22</v>
      </c>
      <c r="G190" s="47"/>
    </row>
    <row r="191" spans="1:7" x14ac:dyDescent="0.35">
      <c r="A191">
        <v>43</v>
      </c>
      <c r="B191">
        <v>9.01</v>
      </c>
      <c r="C191">
        <v>61.06</v>
      </c>
      <c r="D191" t="s">
        <v>22</v>
      </c>
      <c r="G191" s="47"/>
    </row>
    <row r="192" spans="1:7" x14ac:dyDescent="0.35">
      <c r="A192">
        <v>4</v>
      </c>
      <c r="B192">
        <v>5.12</v>
      </c>
      <c r="C192">
        <v>63.38</v>
      </c>
      <c r="D192" t="s">
        <v>22</v>
      </c>
      <c r="G192" s="47"/>
    </row>
    <row r="193" spans="1:7" x14ac:dyDescent="0.35">
      <c r="A193">
        <v>26</v>
      </c>
      <c r="B193">
        <v>4.18</v>
      </c>
      <c r="C193">
        <v>8</v>
      </c>
      <c r="D193" t="s">
        <v>22</v>
      </c>
      <c r="G193" s="47"/>
    </row>
    <row r="194" spans="1:7" x14ac:dyDescent="0.35">
      <c r="A194">
        <v>47</v>
      </c>
      <c r="B194">
        <v>6.36</v>
      </c>
      <c r="C194">
        <v>67.44</v>
      </c>
      <c r="D194" t="s">
        <v>22</v>
      </c>
      <c r="G194" s="47"/>
    </row>
    <row r="195" spans="1:7" x14ac:dyDescent="0.35">
      <c r="A195">
        <v>13</v>
      </c>
      <c r="B195">
        <v>4.08</v>
      </c>
      <c r="C195">
        <v>82.05</v>
      </c>
      <c r="D195" t="s">
        <v>22</v>
      </c>
      <c r="G195" s="47"/>
    </row>
    <row r="196" spans="1:7" x14ac:dyDescent="0.35">
      <c r="A196">
        <v>59</v>
      </c>
      <c r="B196">
        <v>8.5399999999999991</v>
      </c>
      <c r="C196">
        <v>42.33</v>
      </c>
      <c r="D196" t="s">
        <v>22</v>
      </c>
      <c r="G196" s="47"/>
    </row>
    <row r="197" spans="1:7" x14ac:dyDescent="0.35">
      <c r="A197">
        <v>39</v>
      </c>
      <c r="B197">
        <v>5.38</v>
      </c>
      <c r="C197">
        <v>46.56</v>
      </c>
      <c r="D197" t="s">
        <v>22</v>
      </c>
      <c r="G197" s="47"/>
    </row>
    <row r="198" spans="1:7" x14ac:dyDescent="0.35">
      <c r="A198">
        <v>38</v>
      </c>
      <c r="B198">
        <v>5.5</v>
      </c>
      <c r="C198">
        <v>42.01</v>
      </c>
      <c r="D198" t="s">
        <v>22</v>
      </c>
      <c r="G198" s="47"/>
    </row>
    <row r="199" spans="1:7" x14ac:dyDescent="0.35">
      <c r="A199">
        <v>47</v>
      </c>
      <c r="B199">
        <v>5.03</v>
      </c>
      <c r="C199">
        <v>31.21</v>
      </c>
      <c r="D199" t="s">
        <v>22</v>
      </c>
      <c r="G199" s="47"/>
    </row>
    <row r="200" spans="1:7" x14ac:dyDescent="0.35">
      <c r="A200">
        <v>60</v>
      </c>
      <c r="B200">
        <v>4.6900000000000004</v>
      </c>
      <c r="C200">
        <v>46.24</v>
      </c>
      <c r="D200" t="s">
        <v>22</v>
      </c>
      <c r="G200" s="47"/>
    </row>
    <row r="201" spans="1:7" x14ac:dyDescent="0.35">
      <c r="A201">
        <v>23</v>
      </c>
      <c r="B201">
        <v>4.34</v>
      </c>
      <c r="C201">
        <v>50.33</v>
      </c>
      <c r="D201" t="s">
        <v>22</v>
      </c>
      <c r="G201" s="47"/>
    </row>
    <row r="202" spans="1:7" x14ac:dyDescent="0.35">
      <c r="A202">
        <v>3</v>
      </c>
      <c r="B202">
        <v>8.93</v>
      </c>
      <c r="C202">
        <v>118.54</v>
      </c>
      <c r="D202" t="s">
        <v>22</v>
      </c>
      <c r="G202" s="47"/>
    </row>
    <row r="203" spans="1:7" x14ac:dyDescent="0.35">
      <c r="A203">
        <v>7</v>
      </c>
      <c r="B203">
        <v>7.91</v>
      </c>
      <c r="C203">
        <v>66.209999999999994</v>
      </c>
      <c r="D203" t="s">
        <v>22</v>
      </c>
      <c r="G203" s="47"/>
    </row>
    <row r="204" spans="1:7" x14ac:dyDescent="0.35">
      <c r="A204">
        <v>24</v>
      </c>
      <c r="B204">
        <v>4.67</v>
      </c>
      <c r="C204">
        <v>57.53</v>
      </c>
      <c r="D204" t="s">
        <v>22</v>
      </c>
      <c r="G204" s="47"/>
    </row>
    <row r="205" spans="1:7" x14ac:dyDescent="0.35">
      <c r="A205">
        <v>24</v>
      </c>
      <c r="B205">
        <v>9.91</v>
      </c>
      <c r="C205">
        <v>62.71</v>
      </c>
      <c r="D205" t="s">
        <v>22</v>
      </c>
      <c r="G205" s="47"/>
    </row>
    <row r="206" spans="1:7" x14ac:dyDescent="0.35">
      <c r="A206">
        <v>11</v>
      </c>
      <c r="B206">
        <v>6.33</v>
      </c>
      <c r="C206">
        <v>50.62</v>
      </c>
      <c r="D206" t="s">
        <v>22</v>
      </c>
      <c r="G206" s="47"/>
    </row>
    <row r="207" spans="1:7" x14ac:dyDescent="0.35">
      <c r="A207">
        <v>25</v>
      </c>
      <c r="B207">
        <v>9.67</v>
      </c>
      <c r="C207">
        <v>93.01</v>
      </c>
      <c r="D207" t="s">
        <v>22</v>
      </c>
      <c r="G207" s="47"/>
    </row>
    <row r="208" spans="1:7" x14ac:dyDescent="0.35">
      <c r="A208">
        <v>7</v>
      </c>
      <c r="B208">
        <v>5.36</v>
      </c>
      <c r="C208">
        <v>66.86</v>
      </c>
      <c r="D208" t="s">
        <v>22</v>
      </c>
      <c r="G208" s="47"/>
    </row>
    <row r="209" spans="1:7" x14ac:dyDescent="0.35">
      <c r="A209">
        <v>31</v>
      </c>
      <c r="B209">
        <v>4.13</v>
      </c>
      <c r="C209">
        <v>26.63</v>
      </c>
      <c r="D209" t="s">
        <v>22</v>
      </c>
      <c r="G209" s="47"/>
    </row>
    <row r="210" spans="1:7" x14ac:dyDescent="0.35">
      <c r="A210">
        <v>20</v>
      </c>
      <c r="B210">
        <v>7.36</v>
      </c>
      <c r="C210">
        <v>80.430000000000007</v>
      </c>
      <c r="D210" t="s">
        <v>22</v>
      </c>
      <c r="G210" s="47"/>
    </row>
    <row r="211" spans="1:7" x14ac:dyDescent="0.35">
      <c r="A211">
        <v>44</v>
      </c>
      <c r="B211">
        <v>6.44</v>
      </c>
      <c r="C211">
        <v>95.27</v>
      </c>
      <c r="D211" t="s">
        <v>22</v>
      </c>
      <c r="G211" s="47"/>
    </row>
    <row r="212" spans="1:7" x14ac:dyDescent="0.35">
      <c r="A212">
        <v>15</v>
      </c>
      <c r="B212">
        <v>4.1399999999999997</v>
      </c>
      <c r="C212">
        <v>35.78</v>
      </c>
      <c r="D212" t="s">
        <v>22</v>
      </c>
      <c r="G212" s="47"/>
    </row>
    <row r="213" spans="1:7" x14ac:dyDescent="0.35">
      <c r="A213">
        <v>35</v>
      </c>
      <c r="B213">
        <v>6.63</v>
      </c>
      <c r="C213">
        <v>79.290000000000006</v>
      </c>
      <c r="D213" t="s">
        <v>22</v>
      </c>
      <c r="G213" s="47"/>
    </row>
    <row r="214" spans="1:7" x14ac:dyDescent="0.35">
      <c r="A214">
        <v>42</v>
      </c>
      <c r="B214">
        <v>7.68</v>
      </c>
      <c r="C214">
        <v>70.06</v>
      </c>
      <c r="D214" t="s">
        <v>22</v>
      </c>
      <c r="G214" s="47"/>
    </row>
    <row r="215" spans="1:7" x14ac:dyDescent="0.35">
      <c r="A215">
        <v>33</v>
      </c>
      <c r="B215">
        <v>8.4700000000000006</v>
      </c>
      <c r="C215">
        <v>69.06</v>
      </c>
      <c r="D215" t="s">
        <v>22</v>
      </c>
      <c r="G215" s="47"/>
    </row>
    <row r="216" spans="1:7" x14ac:dyDescent="0.35">
      <c r="A216">
        <v>12</v>
      </c>
      <c r="B216">
        <v>4.5199999999999996</v>
      </c>
      <c r="C216">
        <v>45.92</v>
      </c>
      <c r="D216" t="s">
        <v>22</v>
      </c>
      <c r="G216" s="47"/>
    </row>
    <row r="217" spans="1:7" x14ac:dyDescent="0.35">
      <c r="A217">
        <v>8</v>
      </c>
      <c r="B217">
        <v>8.39</v>
      </c>
      <c r="C217">
        <v>89.98</v>
      </c>
      <c r="D217" t="s">
        <v>22</v>
      </c>
      <c r="G217" s="47"/>
    </row>
    <row r="218" spans="1:7" x14ac:dyDescent="0.35">
      <c r="A218">
        <v>28</v>
      </c>
      <c r="B218">
        <v>8.86</v>
      </c>
      <c r="C218">
        <v>55.5</v>
      </c>
      <c r="D218" t="s">
        <v>22</v>
      </c>
      <c r="G218" s="47"/>
    </row>
    <row r="219" spans="1:7" x14ac:dyDescent="0.35">
      <c r="A219">
        <v>2</v>
      </c>
      <c r="B219">
        <v>9.4600000000000009</v>
      </c>
      <c r="C219">
        <v>90.99</v>
      </c>
      <c r="D219" t="s">
        <v>22</v>
      </c>
      <c r="G219" s="47"/>
    </row>
    <row r="220" spans="1:7" x14ac:dyDescent="0.35">
      <c r="A220">
        <v>9</v>
      </c>
      <c r="B220">
        <v>6.5</v>
      </c>
      <c r="C220">
        <v>76.010000000000005</v>
      </c>
      <c r="D220" t="s">
        <v>22</v>
      </c>
      <c r="G220" s="47"/>
    </row>
    <row r="221" spans="1:7" x14ac:dyDescent="0.35">
      <c r="A221">
        <v>27</v>
      </c>
      <c r="B221">
        <v>6.63</v>
      </c>
      <c r="C221">
        <v>34.28</v>
      </c>
      <c r="D221" t="s">
        <v>22</v>
      </c>
      <c r="G221" s="47"/>
    </row>
    <row r="222" spans="1:7" x14ac:dyDescent="0.35">
      <c r="A222">
        <v>33</v>
      </c>
      <c r="B222">
        <v>9.19</v>
      </c>
      <c r="C222">
        <v>72.56</v>
      </c>
      <c r="D222" t="s">
        <v>22</v>
      </c>
      <c r="G222" s="47"/>
    </row>
    <row r="223" spans="1:7" x14ac:dyDescent="0.35">
      <c r="A223">
        <v>23</v>
      </c>
      <c r="B223">
        <v>4.1500000000000004</v>
      </c>
      <c r="C223">
        <v>49.27</v>
      </c>
      <c r="D223" t="s">
        <v>22</v>
      </c>
      <c r="G223" s="47"/>
    </row>
    <row r="224" spans="1:7" x14ac:dyDescent="0.35">
      <c r="A224">
        <v>48</v>
      </c>
      <c r="B224">
        <v>6.09</v>
      </c>
      <c r="C224">
        <v>65.209999999999994</v>
      </c>
      <c r="D224" t="s">
        <v>22</v>
      </c>
      <c r="G224" s="47"/>
    </row>
    <row r="225" spans="1:7" x14ac:dyDescent="0.35">
      <c r="A225">
        <v>28</v>
      </c>
      <c r="B225">
        <v>7.41</v>
      </c>
      <c r="C225">
        <v>86.46</v>
      </c>
      <c r="D225" t="s">
        <v>22</v>
      </c>
      <c r="G225" s="47"/>
    </row>
    <row r="226" spans="1:7" x14ac:dyDescent="0.35">
      <c r="A226">
        <v>9</v>
      </c>
      <c r="B226">
        <v>5.47</v>
      </c>
      <c r="C226">
        <v>45.76</v>
      </c>
      <c r="D226" t="s">
        <v>22</v>
      </c>
      <c r="G226" s="47"/>
    </row>
    <row r="227" spans="1:7" x14ac:dyDescent="0.35">
      <c r="A227">
        <v>31</v>
      </c>
      <c r="B227">
        <v>4.6500000000000004</v>
      </c>
      <c r="C227">
        <v>30.74</v>
      </c>
      <c r="D227" t="s">
        <v>22</v>
      </c>
      <c r="G227" s="47"/>
    </row>
    <row r="228" spans="1:7" x14ac:dyDescent="0.35">
      <c r="A228">
        <v>35</v>
      </c>
      <c r="B228">
        <v>7.69</v>
      </c>
      <c r="C228">
        <v>81.08</v>
      </c>
      <c r="D228" t="s">
        <v>22</v>
      </c>
      <c r="G228" s="47"/>
    </row>
    <row r="229" spans="1:7" x14ac:dyDescent="0.35">
      <c r="A229">
        <v>38</v>
      </c>
      <c r="B229">
        <v>4.75</v>
      </c>
      <c r="C229">
        <v>51</v>
      </c>
      <c r="D229" t="s">
        <v>22</v>
      </c>
      <c r="G229" s="47"/>
    </row>
    <row r="230" spans="1:7" x14ac:dyDescent="0.35">
      <c r="A230">
        <v>41</v>
      </c>
      <c r="B230">
        <v>8.68</v>
      </c>
      <c r="C230">
        <v>67.36</v>
      </c>
      <c r="D230" t="s">
        <v>22</v>
      </c>
      <c r="G230" s="47"/>
    </row>
    <row r="231" spans="1:7" x14ac:dyDescent="0.35">
      <c r="A231">
        <v>33</v>
      </c>
      <c r="B231">
        <v>7.6</v>
      </c>
      <c r="C231">
        <v>50.29</v>
      </c>
      <c r="D231" t="s">
        <v>22</v>
      </c>
      <c r="G231" s="47"/>
    </row>
    <row r="232" spans="1:7" x14ac:dyDescent="0.35">
      <c r="A232">
        <v>30</v>
      </c>
      <c r="B232">
        <v>9.2200000000000006</v>
      </c>
      <c r="C232">
        <v>83.76</v>
      </c>
      <c r="D232" t="s">
        <v>22</v>
      </c>
      <c r="G232" s="47"/>
    </row>
    <row r="233" spans="1:7" x14ac:dyDescent="0.35">
      <c r="A233">
        <v>10</v>
      </c>
      <c r="B233">
        <v>5.46</v>
      </c>
      <c r="C233">
        <v>21.46</v>
      </c>
      <c r="D233" t="s">
        <v>22</v>
      </c>
      <c r="G233" s="47"/>
    </row>
    <row r="234" spans="1:7" x14ac:dyDescent="0.35">
      <c r="A234">
        <v>18</v>
      </c>
      <c r="B234">
        <v>4.3</v>
      </c>
      <c r="C234">
        <v>52.51</v>
      </c>
      <c r="D234" t="s">
        <v>22</v>
      </c>
      <c r="G234" s="47"/>
    </row>
    <row r="235" spans="1:7" x14ac:dyDescent="0.35">
      <c r="A235">
        <v>40</v>
      </c>
      <c r="B235">
        <v>4.4400000000000004</v>
      </c>
      <c r="C235">
        <v>24.63</v>
      </c>
      <c r="D235" t="s">
        <v>22</v>
      </c>
      <c r="G235" s="47"/>
    </row>
    <row r="236" spans="1:7" x14ac:dyDescent="0.35">
      <c r="A236">
        <v>6</v>
      </c>
      <c r="B236">
        <v>4.68</v>
      </c>
      <c r="C236">
        <v>9.23</v>
      </c>
      <c r="D236" t="s">
        <v>22</v>
      </c>
      <c r="G236" s="47"/>
    </row>
    <row r="237" spans="1:7" x14ac:dyDescent="0.35">
      <c r="A237">
        <v>63</v>
      </c>
      <c r="B237">
        <v>8.5500000000000007</v>
      </c>
      <c r="C237">
        <v>39.17</v>
      </c>
      <c r="D237" t="s">
        <v>22</v>
      </c>
      <c r="G237" s="47"/>
    </row>
    <row r="238" spans="1:7" x14ac:dyDescent="0.35">
      <c r="A238">
        <v>9</v>
      </c>
      <c r="B238">
        <v>4.3</v>
      </c>
      <c r="C238">
        <v>50.74</v>
      </c>
      <c r="D238" t="s">
        <v>22</v>
      </c>
      <c r="G238" s="47"/>
    </row>
    <row r="239" spans="1:7" x14ac:dyDescent="0.35">
      <c r="A239">
        <v>42</v>
      </c>
      <c r="B239">
        <v>7.06</v>
      </c>
      <c r="C239">
        <v>86.68</v>
      </c>
      <c r="D239" t="s">
        <v>22</v>
      </c>
      <c r="G239" s="47"/>
    </row>
    <row r="240" spans="1:7" x14ac:dyDescent="0.35">
      <c r="A240">
        <v>24</v>
      </c>
      <c r="B240">
        <v>8.65</v>
      </c>
      <c r="C240">
        <v>79.790000000000006</v>
      </c>
      <c r="D240" t="s">
        <v>22</v>
      </c>
      <c r="G240" s="47"/>
    </row>
    <row r="241" spans="1:7" x14ac:dyDescent="0.35">
      <c r="A241">
        <v>29</v>
      </c>
      <c r="B241">
        <v>7.38</v>
      </c>
      <c r="C241">
        <v>26.08</v>
      </c>
      <c r="D241" t="s">
        <v>22</v>
      </c>
      <c r="G241" s="47"/>
    </row>
    <row r="242" spans="1:7" x14ac:dyDescent="0.35">
      <c r="A242">
        <v>3</v>
      </c>
      <c r="B242">
        <v>8.1199999999999992</v>
      </c>
      <c r="C242">
        <v>72.25</v>
      </c>
      <c r="D242" t="s">
        <v>22</v>
      </c>
      <c r="G242" s="47"/>
    </row>
    <row r="243" spans="1:7" x14ac:dyDescent="0.35">
      <c r="A243">
        <v>22</v>
      </c>
      <c r="B243">
        <v>5.7</v>
      </c>
      <c r="C243">
        <v>49.24</v>
      </c>
      <c r="D243" t="s">
        <v>22</v>
      </c>
      <c r="G243" s="47"/>
    </row>
    <row r="244" spans="1:7" x14ac:dyDescent="0.35">
      <c r="A244">
        <v>36</v>
      </c>
      <c r="B244">
        <v>9.99</v>
      </c>
      <c r="C244">
        <v>78.39</v>
      </c>
      <c r="D244" t="s">
        <v>22</v>
      </c>
      <c r="G244" s="47"/>
    </row>
    <row r="245" spans="1:7" x14ac:dyDescent="0.35">
      <c r="A245">
        <v>67</v>
      </c>
      <c r="B245">
        <v>5.34</v>
      </c>
      <c r="C245">
        <v>70.22</v>
      </c>
      <c r="D245" t="s">
        <v>22</v>
      </c>
      <c r="G245" s="47"/>
    </row>
    <row r="246" spans="1:7" x14ac:dyDescent="0.35">
      <c r="A246">
        <v>5</v>
      </c>
      <c r="B246">
        <v>8.2200000000000006</v>
      </c>
      <c r="C246">
        <v>60.49</v>
      </c>
      <c r="D246" t="s">
        <v>22</v>
      </c>
      <c r="G246" s="47"/>
    </row>
    <row r="247" spans="1:7" x14ac:dyDescent="0.35">
      <c r="A247">
        <v>6</v>
      </c>
      <c r="B247">
        <v>4.78</v>
      </c>
      <c r="C247">
        <v>62.92</v>
      </c>
      <c r="D247" t="s">
        <v>22</v>
      </c>
      <c r="G247" s="47"/>
    </row>
    <row r="248" spans="1:7" x14ac:dyDescent="0.35">
      <c r="A248">
        <v>41</v>
      </c>
      <c r="B248">
        <v>7.05</v>
      </c>
      <c r="C248">
        <v>48.83</v>
      </c>
      <c r="D248" t="s">
        <v>22</v>
      </c>
    </row>
    <row r="249" spans="1:7" x14ac:dyDescent="0.35">
      <c r="A249">
        <v>31</v>
      </c>
      <c r="B249">
        <v>4.83</v>
      </c>
      <c r="C249">
        <v>39.82</v>
      </c>
      <c r="D249" t="s">
        <v>10</v>
      </c>
      <c r="G249" s="47"/>
    </row>
    <row r="250" spans="1:7" x14ac:dyDescent="0.35">
      <c r="A250">
        <v>22</v>
      </c>
      <c r="B250">
        <v>7.66</v>
      </c>
      <c r="C250">
        <v>69.86</v>
      </c>
      <c r="D250" t="s">
        <v>10</v>
      </c>
      <c r="G250" s="47"/>
    </row>
    <row r="251" spans="1:7" x14ac:dyDescent="0.35">
      <c r="A251">
        <v>13</v>
      </c>
      <c r="B251">
        <v>7.88</v>
      </c>
      <c r="C251">
        <v>67.95</v>
      </c>
      <c r="D251" t="s">
        <v>10</v>
      </c>
      <c r="G251" s="47"/>
    </row>
    <row r="252" spans="1:7" x14ac:dyDescent="0.35">
      <c r="A252">
        <v>52</v>
      </c>
      <c r="B252">
        <v>5.58</v>
      </c>
      <c r="C252">
        <v>50.66</v>
      </c>
      <c r="D252" t="s">
        <v>10</v>
      </c>
      <c r="G252" s="47"/>
    </row>
    <row r="253" spans="1:7" x14ac:dyDescent="0.35">
      <c r="A253">
        <v>25</v>
      </c>
      <c r="B253">
        <v>4.32</v>
      </c>
      <c r="C253">
        <v>31.48</v>
      </c>
      <c r="D253" t="s">
        <v>10</v>
      </c>
      <c r="G253" s="47"/>
    </row>
    <row r="254" spans="1:7" x14ac:dyDescent="0.35">
      <c r="A254">
        <v>13</v>
      </c>
      <c r="B254">
        <v>5.2</v>
      </c>
      <c r="C254">
        <v>37.39</v>
      </c>
      <c r="D254" t="s">
        <v>10</v>
      </c>
      <c r="G254" s="47"/>
    </row>
    <row r="255" spans="1:7" x14ac:dyDescent="0.35">
      <c r="A255">
        <v>5</v>
      </c>
      <c r="B255">
        <v>4.04</v>
      </c>
      <c r="C255">
        <v>51.67</v>
      </c>
      <c r="D255" t="s">
        <v>10</v>
      </c>
      <c r="G255" s="47"/>
    </row>
    <row r="256" spans="1:7" x14ac:dyDescent="0.35">
      <c r="A256">
        <v>13</v>
      </c>
      <c r="B256">
        <v>4.7699999999999996</v>
      </c>
      <c r="C256">
        <v>43.81</v>
      </c>
      <c r="D256" t="s">
        <v>10</v>
      </c>
      <c r="G256" s="47"/>
    </row>
    <row r="257" spans="1:7" x14ac:dyDescent="0.35">
      <c r="A257">
        <v>51</v>
      </c>
      <c r="B257">
        <v>8.34</v>
      </c>
      <c r="C257">
        <v>70.430000000000007</v>
      </c>
      <c r="D257" t="s">
        <v>10</v>
      </c>
      <c r="G257" s="47"/>
    </row>
    <row r="258" spans="1:7" x14ac:dyDescent="0.35">
      <c r="A258">
        <v>14</v>
      </c>
      <c r="B258">
        <v>9.3800000000000008</v>
      </c>
      <c r="C258">
        <v>79.900000000000006</v>
      </c>
      <c r="D258" t="s">
        <v>10</v>
      </c>
      <c r="G258" s="47"/>
    </row>
    <row r="259" spans="1:7" x14ac:dyDescent="0.35">
      <c r="A259">
        <v>8</v>
      </c>
      <c r="B259">
        <v>9.66</v>
      </c>
      <c r="C259">
        <v>63.34</v>
      </c>
      <c r="D259" t="s">
        <v>10</v>
      </c>
      <c r="G259" s="47"/>
    </row>
    <row r="260" spans="1:7" x14ac:dyDescent="0.35">
      <c r="A260">
        <v>48</v>
      </c>
      <c r="B260">
        <v>4</v>
      </c>
      <c r="C260">
        <v>30.62</v>
      </c>
      <c r="D260" t="s">
        <v>10</v>
      </c>
      <c r="G260" s="47"/>
    </row>
    <row r="261" spans="1:7" x14ac:dyDescent="0.35">
      <c r="A261">
        <v>38</v>
      </c>
      <c r="B261">
        <v>7.31</v>
      </c>
      <c r="C261">
        <v>51.36</v>
      </c>
      <c r="D261" t="s">
        <v>10</v>
      </c>
      <c r="G261" s="47"/>
    </row>
    <row r="262" spans="1:7" x14ac:dyDescent="0.35">
      <c r="A262">
        <v>51</v>
      </c>
      <c r="B262">
        <v>7.45</v>
      </c>
      <c r="C262">
        <v>62.85</v>
      </c>
      <c r="D262" t="s">
        <v>10</v>
      </c>
      <c r="G262" s="47"/>
    </row>
    <row r="263" spans="1:7" x14ac:dyDescent="0.35">
      <c r="A263">
        <v>17</v>
      </c>
      <c r="B263">
        <v>9.66</v>
      </c>
      <c r="C263">
        <v>55.39</v>
      </c>
      <c r="D263" t="s">
        <v>10</v>
      </c>
      <c r="G263" s="47"/>
    </row>
    <row r="264" spans="1:7" x14ac:dyDescent="0.35">
      <c r="A264">
        <v>38</v>
      </c>
      <c r="B264">
        <v>9.24</v>
      </c>
      <c r="C264">
        <v>91.7</v>
      </c>
      <c r="D264" t="s">
        <v>10</v>
      </c>
      <c r="G264" s="47"/>
    </row>
    <row r="265" spans="1:7" x14ac:dyDescent="0.35">
      <c r="A265">
        <v>47</v>
      </c>
      <c r="B265">
        <v>4.5</v>
      </c>
      <c r="C265">
        <v>64.67</v>
      </c>
      <c r="D265" t="s">
        <v>10</v>
      </c>
      <c r="G265" s="47"/>
    </row>
    <row r="266" spans="1:7" x14ac:dyDescent="0.35">
      <c r="A266">
        <v>19</v>
      </c>
      <c r="B266">
        <v>7.3</v>
      </c>
      <c r="C266">
        <v>66.13</v>
      </c>
      <c r="D266" t="s">
        <v>10</v>
      </c>
      <c r="G266" s="47"/>
    </row>
    <row r="267" spans="1:7" x14ac:dyDescent="0.35">
      <c r="A267">
        <v>3</v>
      </c>
      <c r="B267">
        <v>5.44</v>
      </c>
      <c r="C267">
        <v>47.04</v>
      </c>
      <c r="D267" t="s">
        <v>10</v>
      </c>
      <c r="G267" s="47"/>
    </row>
    <row r="268" spans="1:7" x14ac:dyDescent="0.35">
      <c r="A268">
        <v>14</v>
      </c>
      <c r="B268">
        <v>8.1199999999999992</v>
      </c>
      <c r="C268">
        <v>35.380000000000003</v>
      </c>
      <c r="D268" t="s">
        <v>10</v>
      </c>
      <c r="G268" s="47"/>
    </row>
    <row r="269" spans="1:7" x14ac:dyDescent="0.35">
      <c r="A269">
        <v>27</v>
      </c>
      <c r="B269">
        <v>9.7799999999999994</v>
      </c>
      <c r="C269">
        <v>109.79</v>
      </c>
      <c r="D269" t="s">
        <v>10</v>
      </c>
      <c r="G269" s="47"/>
    </row>
    <row r="270" spans="1:7" x14ac:dyDescent="0.35">
      <c r="A270">
        <v>30</v>
      </c>
      <c r="B270">
        <v>6.15</v>
      </c>
      <c r="C270">
        <v>48.99</v>
      </c>
      <c r="D270" t="s">
        <v>10</v>
      </c>
      <c r="G270" s="47"/>
    </row>
    <row r="271" spans="1:7" x14ac:dyDescent="0.35">
      <c r="A271">
        <v>42</v>
      </c>
      <c r="B271">
        <v>7.33</v>
      </c>
      <c r="C271">
        <v>84.13</v>
      </c>
      <c r="D271" t="s">
        <v>10</v>
      </c>
      <c r="G271" s="47"/>
    </row>
    <row r="272" spans="1:7" x14ac:dyDescent="0.35">
      <c r="A272">
        <v>34</v>
      </c>
      <c r="B272">
        <v>5.59</v>
      </c>
      <c r="C272">
        <v>58.41</v>
      </c>
      <c r="D272" t="s">
        <v>10</v>
      </c>
      <c r="G272" s="47"/>
    </row>
    <row r="273" spans="1:7" x14ac:dyDescent="0.35">
      <c r="A273">
        <v>3</v>
      </c>
      <c r="B273">
        <v>5.0999999999999996</v>
      </c>
      <c r="C273">
        <v>38.1</v>
      </c>
      <c r="D273" t="s">
        <v>10</v>
      </c>
      <c r="G273" s="47"/>
    </row>
    <row r="274" spans="1:7" x14ac:dyDescent="0.35">
      <c r="A274">
        <v>14</v>
      </c>
      <c r="B274">
        <v>7.73</v>
      </c>
      <c r="C274">
        <v>66.22</v>
      </c>
      <c r="D274" t="s">
        <v>10</v>
      </c>
      <c r="G274" s="47"/>
    </row>
    <row r="275" spans="1:7" x14ac:dyDescent="0.35">
      <c r="A275">
        <v>32</v>
      </c>
      <c r="B275">
        <v>9.74</v>
      </c>
      <c r="C275">
        <v>89.32</v>
      </c>
      <c r="D275" t="s">
        <v>10</v>
      </c>
      <c r="G275" s="47"/>
    </row>
    <row r="276" spans="1:7" x14ac:dyDescent="0.35">
      <c r="A276">
        <v>6</v>
      </c>
      <c r="B276">
        <v>7.33</v>
      </c>
      <c r="C276">
        <v>71.599999999999994</v>
      </c>
      <c r="D276" t="s">
        <v>10</v>
      </c>
      <c r="G276" s="47"/>
    </row>
    <row r="277" spans="1:7" x14ac:dyDescent="0.35">
      <c r="A277">
        <v>38</v>
      </c>
      <c r="B277">
        <v>9.8800000000000008</v>
      </c>
      <c r="C277">
        <v>51.89</v>
      </c>
      <c r="D277" t="s">
        <v>10</v>
      </c>
      <c r="G277" s="47"/>
    </row>
    <row r="278" spans="1:7" x14ac:dyDescent="0.35">
      <c r="A278">
        <v>7</v>
      </c>
      <c r="B278">
        <v>8.17</v>
      </c>
      <c r="C278">
        <v>65.260000000000005</v>
      </c>
      <c r="D278" t="s">
        <v>10</v>
      </c>
      <c r="G278" s="47"/>
    </row>
    <row r="279" spans="1:7" x14ac:dyDescent="0.35">
      <c r="A279">
        <v>42</v>
      </c>
      <c r="B279">
        <v>6.71</v>
      </c>
      <c r="C279">
        <v>70.739999999999995</v>
      </c>
      <c r="D279" t="s">
        <v>10</v>
      </c>
      <c r="G279" s="47"/>
    </row>
    <row r="280" spans="1:7" x14ac:dyDescent="0.35">
      <c r="A280">
        <v>24</v>
      </c>
      <c r="B280">
        <v>6.85</v>
      </c>
      <c r="C280">
        <v>62.56</v>
      </c>
      <c r="D280" t="s">
        <v>10</v>
      </c>
      <c r="G280" s="47"/>
    </row>
    <row r="281" spans="1:7" x14ac:dyDescent="0.35">
      <c r="A281">
        <v>12</v>
      </c>
      <c r="B281">
        <v>5.61</v>
      </c>
      <c r="C281">
        <v>83.08</v>
      </c>
      <c r="D281" t="s">
        <v>10</v>
      </c>
      <c r="G281" s="47"/>
    </row>
    <row r="282" spans="1:7" x14ac:dyDescent="0.35">
      <c r="A282">
        <v>33</v>
      </c>
      <c r="B282">
        <v>8.6199999999999992</v>
      </c>
      <c r="C282">
        <v>71.040000000000006</v>
      </c>
      <c r="D282" t="s">
        <v>10</v>
      </c>
      <c r="G282" s="47"/>
    </row>
    <row r="283" spans="1:7" x14ac:dyDescent="0.35">
      <c r="A283">
        <v>1</v>
      </c>
      <c r="B283">
        <v>6.73</v>
      </c>
      <c r="C283">
        <v>44.64</v>
      </c>
      <c r="D283" t="s">
        <v>10</v>
      </c>
      <c r="G283" s="47"/>
    </row>
    <row r="284" spans="1:7" x14ac:dyDescent="0.35">
      <c r="A284">
        <v>30</v>
      </c>
      <c r="B284">
        <v>8.27</v>
      </c>
      <c r="C284">
        <v>46.56</v>
      </c>
      <c r="D284" t="s">
        <v>10</v>
      </c>
      <c r="G284" s="47"/>
    </row>
    <row r="285" spans="1:7" x14ac:dyDescent="0.35">
      <c r="A285">
        <v>43</v>
      </c>
      <c r="B285">
        <v>7</v>
      </c>
      <c r="C285">
        <v>38.090000000000003</v>
      </c>
      <c r="D285" t="s">
        <v>10</v>
      </c>
      <c r="G285" s="47"/>
    </row>
    <row r="286" spans="1:7" x14ac:dyDescent="0.35">
      <c r="A286">
        <v>49</v>
      </c>
      <c r="B286">
        <v>6.69</v>
      </c>
      <c r="C286">
        <v>66.430000000000007</v>
      </c>
      <c r="D286" t="s">
        <v>10</v>
      </c>
      <c r="G286" s="47"/>
    </row>
    <row r="287" spans="1:7" x14ac:dyDescent="0.35">
      <c r="A287">
        <v>2</v>
      </c>
      <c r="B287">
        <v>7.76</v>
      </c>
      <c r="C287">
        <v>36.99</v>
      </c>
      <c r="D287" t="s">
        <v>10</v>
      </c>
      <c r="G287" s="47"/>
    </row>
    <row r="288" spans="1:7" x14ac:dyDescent="0.35">
      <c r="A288">
        <v>53</v>
      </c>
      <c r="B288">
        <v>8.0500000000000007</v>
      </c>
      <c r="C288">
        <v>99.96</v>
      </c>
      <c r="D288" t="s">
        <v>10</v>
      </c>
      <c r="G288" s="47"/>
    </row>
    <row r="289" spans="1:7" x14ac:dyDescent="0.35">
      <c r="A289">
        <v>9</v>
      </c>
      <c r="B289">
        <v>6.81</v>
      </c>
      <c r="C289">
        <v>70.040000000000006</v>
      </c>
      <c r="D289" t="s">
        <v>10</v>
      </c>
      <c r="G289" s="47"/>
    </row>
    <row r="290" spans="1:7" x14ac:dyDescent="0.35">
      <c r="A290">
        <v>24</v>
      </c>
      <c r="B290">
        <v>9.31</v>
      </c>
      <c r="C290">
        <v>77.760000000000005</v>
      </c>
      <c r="D290" t="s">
        <v>10</v>
      </c>
      <c r="G290" s="47"/>
    </row>
    <row r="291" spans="1:7" x14ac:dyDescent="0.35">
      <c r="A291">
        <v>27</v>
      </c>
      <c r="B291">
        <v>4.1100000000000003</v>
      </c>
      <c r="C291">
        <v>36.31</v>
      </c>
      <c r="D291" t="s">
        <v>10</v>
      </c>
      <c r="G291" s="47"/>
    </row>
    <row r="292" spans="1:7" x14ac:dyDescent="0.35">
      <c r="A292">
        <v>18</v>
      </c>
      <c r="B292">
        <v>7.57</v>
      </c>
      <c r="C292">
        <v>73.78</v>
      </c>
      <c r="D292" t="s">
        <v>10</v>
      </c>
      <c r="G292" s="47"/>
    </row>
    <row r="293" spans="1:7" x14ac:dyDescent="0.35">
      <c r="A293">
        <v>30</v>
      </c>
      <c r="B293">
        <v>8.44</v>
      </c>
      <c r="C293">
        <v>64.36</v>
      </c>
      <c r="D293" t="s">
        <v>10</v>
      </c>
      <c r="G293" s="47"/>
    </row>
    <row r="294" spans="1:7" x14ac:dyDescent="0.35">
      <c r="A294">
        <v>20</v>
      </c>
      <c r="B294">
        <v>7.69</v>
      </c>
      <c r="C294">
        <v>57.42</v>
      </c>
      <c r="D294" t="s">
        <v>10</v>
      </c>
      <c r="G294" s="47"/>
    </row>
    <row r="295" spans="1:7" x14ac:dyDescent="0.35">
      <c r="A295">
        <v>20</v>
      </c>
      <c r="B295">
        <v>5.88</v>
      </c>
      <c r="C295">
        <v>63.1</v>
      </c>
      <c r="D295" t="s">
        <v>10</v>
      </c>
      <c r="G295" s="47"/>
    </row>
    <row r="296" spans="1:7" x14ac:dyDescent="0.35">
      <c r="A296">
        <v>23</v>
      </c>
      <c r="B296">
        <v>7.55</v>
      </c>
      <c r="C296">
        <v>92.22</v>
      </c>
      <c r="D296" t="s">
        <v>10</v>
      </c>
      <c r="G296" s="47"/>
    </row>
    <row r="297" spans="1:7" x14ac:dyDescent="0.35">
      <c r="A297">
        <v>24</v>
      </c>
      <c r="B297">
        <v>5.61</v>
      </c>
      <c r="C297">
        <v>63.19</v>
      </c>
      <c r="D297" t="s">
        <v>10</v>
      </c>
      <c r="G297" s="47"/>
    </row>
    <row r="298" spans="1:7" x14ac:dyDescent="0.35">
      <c r="A298">
        <v>26</v>
      </c>
      <c r="B298">
        <v>5.3</v>
      </c>
      <c r="C298">
        <v>30.67</v>
      </c>
      <c r="D298" t="s">
        <v>10</v>
      </c>
      <c r="G298" s="47"/>
    </row>
    <row r="299" spans="1:7" x14ac:dyDescent="0.35">
      <c r="A299">
        <v>31</v>
      </c>
      <c r="B299">
        <v>8.94</v>
      </c>
      <c r="C299">
        <v>49.92</v>
      </c>
      <c r="D299" t="s">
        <v>10</v>
      </c>
      <c r="G299" s="47"/>
    </row>
    <row r="300" spans="1:7" x14ac:dyDescent="0.35">
      <c r="A300">
        <v>28</v>
      </c>
      <c r="B300">
        <v>4.1399999999999997</v>
      </c>
      <c r="C300">
        <v>22.54</v>
      </c>
      <c r="D300" t="s">
        <v>10</v>
      </c>
      <c r="G300" s="47"/>
    </row>
    <row r="301" spans="1:7" x14ac:dyDescent="0.35">
      <c r="A301">
        <v>20</v>
      </c>
      <c r="B301">
        <v>6.68</v>
      </c>
      <c r="C301">
        <v>74.41</v>
      </c>
      <c r="D301" t="s">
        <v>10</v>
      </c>
      <c r="G301" s="47"/>
    </row>
    <row r="302" spans="1:7" x14ac:dyDescent="0.35">
      <c r="A302">
        <v>35</v>
      </c>
      <c r="B302">
        <v>8.08</v>
      </c>
      <c r="C302">
        <v>53.62</v>
      </c>
      <c r="D302" t="s">
        <v>10</v>
      </c>
      <c r="G302" s="47"/>
    </row>
    <row r="303" spans="1:7" x14ac:dyDescent="0.35">
      <c r="A303">
        <v>35</v>
      </c>
      <c r="B303">
        <v>6.33</v>
      </c>
      <c r="C303">
        <v>47.69</v>
      </c>
      <c r="D303" t="s">
        <v>10</v>
      </c>
      <c r="G303" s="47"/>
    </row>
    <row r="304" spans="1:7" x14ac:dyDescent="0.35">
      <c r="A304">
        <v>16</v>
      </c>
      <c r="B304">
        <v>9.99</v>
      </c>
      <c r="C304">
        <v>64.83</v>
      </c>
      <c r="D304" t="s">
        <v>10</v>
      </c>
      <c r="G304" s="47"/>
    </row>
    <row r="305" spans="1:7" x14ac:dyDescent="0.35">
      <c r="A305">
        <v>4</v>
      </c>
      <c r="B305">
        <v>5.83</v>
      </c>
      <c r="C305">
        <v>56.59</v>
      </c>
      <c r="D305" t="s">
        <v>10</v>
      </c>
      <c r="G305" s="47"/>
    </row>
    <row r="306" spans="1:7" x14ac:dyDescent="0.35">
      <c r="A306">
        <v>2</v>
      </c>
      <c r="B306">
        <v>8.5399999999999991</v>
      </c>
      <c r="C306">
        <v>86.36</v>
      </c>
      <c r="D306" t="s">
        <v>10</v>
      </c>
      <c r="G306" s="47"/>
    </row>
    <row r="307" spans="1:7" x14ac:dyDescent="0.35">
      <c r="A307">
        <v>30</v>
      </c>
      <c r="B307">
        <v>7.18</v>
      </c>
      <c r="C307">
        <v>22.58</v>
      </c>
      <c r="D307" t="s">
        <v>10</v>
      </c>
      <c r="G307" s="47"/>
    </row>
    <row r="308" spans="1:7" x14ac:dyDescent="0.35">
      <c r="A308">
        <v>32</v>
      </c>
      <c r="B308">
        <v>8.8000000000000007</v>
      </c>
      <c r="C308">
        <v>115.37</v>
      </c>
      <c r="D308" t="s">
        <v>10</v>
      </c>
      <c r="G308" s="47"/>
    </row>
    <row r="309" spans="1:7" x14ac:dyDescent="0.35">
      <c r="A309">
        <v>35</v>
      </c>
      <c r="B309">
        <v>9.33</v>
      </c>
      <c r="C309">
        <v>84.48</v>
      </c>
      <c r="D309" t="s">
        <v>10</v>
      </c>
      <c r="G309" s="47"/>
    </row>
    <row r="310" spans="1:7" x14ac:dyDescent="0.35">
      <c r="A310">
        <v>15</v>
      </c>
      <c r="B310">
        <v>8.98</v>
      </c>
      <c r="C310">
        <v>47.37</v>
      </c>
      <c r="D310" t="s">
        <v>10</v>
      </c>
      <c r="G310" s="47"/>
    </row>
    <row r="311" spans="1:7" x14ac:dyDescent="0.35">
      <c r="A311">
        <v>18</v>
      </c>
      <c r="B311">
        <v>6.84</v>
      </c>
      <c r="C311">
        <v>81.88</v>
      </c>
      <c r="D311" t="s">
        <v>10</v>
      </c>
      <c r="G311" s="47"/>
    </row>
    <row r="312" spans="1:7" x14ac:dyDescent="0.35">
      <c r="A312">
        <v>5</v>
      </c>
      <c r="B312">
        <v>7.66</v>
      </c>
      <c r="C312">
        <v>69.099999999999994</v>
      </c>
      <c r="D312" t="s">
        <v>10</v>
      </c>
      <c r="G312" s="47"/>
    </row>
    <row r="313" spans="1:7" x14ac:dyDescent="0.35">
      <c r="A313">
        <v>1</v>
      </c>
      <c r="B313">
        <v>7.93</v>
      </c>
      <c r="C313">
        <v>53.17</v>
      </c>
      <c r="D313" t="s">
        <v>10</v>
      </c>
      <c r="G313" s="47"/>
    </row>
    <row r="314" spans="1:7" x14ac:dyDescent="0.35">
      <c r="A314">
        <v>24</v>
      </c>
      <c r="B314">
        <v>4</v>
      </c>
      <c r="C314">
        <v>58.99</v>
      </c>
      <c r="D314" t="s">
        <v>10</v>
      </c>
      <c r="G314" s="47"/>
    </row>
    <row r="315" spans="1:7" x14ac:dyDescent="0.35">
      <c r="A315">
        <v>25</v>
      </c>
      <c r="B315">
        <v>5.97</v>
      </c>
      <c r="C315">
        <v>49.48</v>
      </c>
      <c r="D315" t="s">
        <v>10</v>
      </c>
      <c r="G315" s="47"/>
    </row>
    <row r="316" spans="1:7" x14ac:dyDescent="0.35">
      <c r="A316">
        <v>46</v>
      </c>
      <c r="B316">
        <v>5.45</v>
      </c>
      <c r="C316">
        <v>53</v>
      </c>
      <c r="D316" t="s">
        <v>10</v>
      </c>
      <c r="G316" s="47"/>
    </row>
    <row r="317" spans="1:7" x14ac:dyDescent="0.35">
      <c r="A317">
        <v>20</v>
      </c>
      <c r="B317">
        <v>4.78</v>
      </c>
      <c r="C317">
        <v>76.27</v>
      </c>
      <c r="D317" t="s">
        <v>10</v>
      </c>
      <c r="G317" s="47"/>
    </row>
    <row r="318" spans="1:7" x14ac:dyDescent="0.35">
      <c r="A318">
        <v>48</v>
      </c>
      <c r="B318">
        <v>5.53</v>
      </c>
      <c r="C318">
        <v>61.26</v>
      </c>
      <c r="D318" t="s">
        <v>10</v>
      </c>
      <c r="G318" s="47"/>
    </row>
    <row r="319" spans="1:7" x14ac:dyDescent="0.35">
      <c r="A319">
        <v>17</v>
      </c>
      <c r="B319">
        <v>9.17</v>
      </c>
      <c r="C319">
        <v>59.62</v>
      </c>
      <c r="D319" t="s">
        <v>10</v>
      </c>
      <c r="G319" s="47"/>
    </row>
    <row r="320" spans="1:7" x14ac:dyDescent="0.35">
      <c r="A320">
        <v>35</v>
      </c>
      <c r="B320">
        <v>5.05</v>
      </c>
      <c r="C320">
        <v>74.09</v>
      </c>
      <c r="D320" t="s">
        <v>10</v>
      </c>
      <c r="G320" s="47"/>
    </row>
    <row r="321" spans="1:7" x14ac:dyDescent="0.35">
      <c r="A321">
        <v>30</v>
      </c>
      <c r="B321">
        <v>8.6</v>
      </c>
      <c r="C321">
        <v>42.69</v>
      </c>
      <c r="D321" t="s">
        <v>10</v>
      </c>
      <c r="G321" s="47"/>
    </row>
    <row r="322" spans="1:7" x14ac:dyDescent="0.35">
      <c r="A322">
        <v>19</v>
      </c>
      <c r="B322">
        <v>6.41</v>
      </c>
      <c r="C322">
        <v>26.77</v>
      </c>
      <c r="D322" t="s">
        <v>10</v>
      </c>
      <c r="G322" s="47"/>
    </row>
    <row r="323" spans="1:7" x14ac:dyDescent="0.35">
      <c r="A323">
        <v>15</v>
      </c>
      <c r="B323">
        <v>9.25</v>
      </c>
      <c r="C323">
        <v>82.31</v>
      </c>
      <c r="D323" t="s">
        <v>10</v>
      </c>
      <c r="G323" s="47"/>
    </row>
    <row r="324" spans="1:7" x14ac:dyDescent="0.35">
      <c r="A324">
        <v>48</v>
      </c>
      <c r="B324">
        <v>6.78</v>
      </c>
      <c r="C324">
        <v>73.25</v>
      </c>
      <c r="D324" t="s">
        <v>10</v>
      </c>
      <c r="G324" s="47"/>
    </row>
    <row r="325" spans="1:7" x14ac:dyDescent="0.35">
      <c r="A325">
        <v>13</v>
      </c>
      <c r="B325">
        <v>5.42</v>
      </c>
      <c r="C325">
        <v>35.58</v>
      </c>
      <c r="D325" t="s">
        <v>10</v>
      </c>
      <c r="G325" s="47"/>
    </row>
    <row r="326" spans="1:7" x14ac:dyDescent="0.35">
      <c r="A326">
        <v>25</v>
      </c>
      <c r="B326">
        <v>7.37</v>
      </c>
      <c r="C326">
        <v>19.02</v>
      </c>
      <c r="D326" t="s">
        <v>10</v>
      </c>
      <c r="G326" s="47"/>
    </row>
    <row r="327" spans="1:7" x14ac:dyDescent="0.35">
      <c r="A327">
        <v>15</v>
      </c>
      <c r="B327">
        <v>4.96</v>
      </c>
      <c r="C327">
        <v>76.37</v>
      </c>
      <c r="D327" t="s">
        <v>10</v>
      </c>
      <c r="G327" s="47"/>
    </row>
    <row r="328" spans="1:7" x14ac:dyDescent="0.35">
      <c r="A328">
        <v>21</v>
      </c>
      <c r="B328">
        <v>7.27</v>
      </c>
      <c r="C328">
        <v>64.69</v>
      </c>
      <c r="D328" t="s">
        <v>10</v>
      </c>
      <c r="G328" s="47"/>
    </row>
    <row r="329" spans="1:7" x14ac:dyDescent="0.35">
      <c r="A329">
        <v>32</v>
      </c>
      <c r="B329">
        <v>6.31</v>
      </c>
      <c r="C329">
        <v>21.73</v>
      </c>
      <c r="D329" t="s">
        <v>10</v>
      </c>
      <c r="G329" s="47"/>
    </row>
    <row r="330" spans="1:7" x14ac:dyDescent="0.35">
      <c r="A330">
        <v>26</v>
      </c>
      <c r="B330">
        <v>8.91</v>
      </c>
      <c r="C330">
        <v>47.3</v>
      </c>
      <c r="D330" t="s">
        <v>10</v>
      </c>
      <c r="G330" s="47"/>
    </row>
    <row r="331" spans="1:7" x14ac:dyDescent="0.35">
      <c r="A331">
        <v>28</v>
      </c>
      <c r="B331">
        <v>9.8699999999999992</v>
      </c>
      <c r="C331">
        <v>77.92</v>
      </c>
      <c r="D331" t="s">
        <v>10</v>
      </c>
      <c r="G331" s="47"/>
    </row>
    <row r="332" spans="1:7" x14ac:dyDescent="0.35">
      <c r="A332">
        <v>5</v>
      </c>
      <c r="B332">
        <v>4.24</v>
      </c>
      <c r="C332">
        <v>57.95</v>
      </c>
      <c r="D332" t="s">
        <v>10</v>
      </c>
      <c r="G332" s="47"/>
    </row>
    <row r="333" spans="1:7" x14ac:dyDescent="0.35">
      <c r="A333">
        <v>21</v>
      </c>
      <c r="B333">
        <v>4.2</v>
      </c>
      <c r="C333">
        <v>44.29</v>
      </c>
      <c r="D333" t="s">
        <v>10</v>
      </c>
      <c r="G333" s="47"/>
    </row>
    <row r="334" spans="1:7" x14ac:dyDescent="0.35">
      <c r="A334">
        <v>35</v>
      </c>
      <c r="B334">
        <v>5.58</v>
      </c>
      <c r="C334">
        <v>74.44</v>
      </c>
      <c r="D334" t="s">
        <v>10</v>
      </c>
      <c r="G334" s="47"/>
    </row>
    <row r="335" spans="1:7" x14ac:dyDescent="0.35">
      <c r="A335">
        <v>9</v>
      </c>
      <c r="B335">
        <v>5.68</v>
      </c>
      <c r="C335">
        <v>47.5</v>
      </c>
      <c r="D335" t="s">
        <v>10</v>
      </c>
      <c r="G335" s="47"/>
    </row>
    <row r="336" spans="1:7" x14ac:dyDescent="0.35">
      <c r="A336">
        <v>15</v>
      </c>
      <c r="B336">
        <v>9.69</v>
      </c>
      <c r="C336">
        <v>100.72</v>
      </c>
      <c r="D336" t="s">
        <v>10</v>
      </c>
      <c r="G336" s="47"/>
    </row>
    <row r="337" spans="1:7" x14ac:dyDescent="0.35">
      <c r="A337">
        <v>36</v>
      </c>
      <c r="B337">
        <v>8.11</v>
      </c>
      <c r="C337">
        <v>81.53</v>
      </c>
      <c r="D337" t="s">
        <v>10</v>
      </c>
      <c r="G337" s="47"/>
    </row>
    <row r="338" spans="1:7" x14ac:dyDescent="0.35">
      <c r="A338">
        <v>20</v>
      </c>
      <c r="B338">
        <v>5.0999999999999996</v>
      </c>
      <c r="C338">
        <v>58.17</v>
      </c>
      <c r="D338" t="s">
        <v>10</v>
      </c>
      <c r="G338" s="47"/>
    </row>
    <row r="339" spans="1:7" x14ac:dyDescent="0.35">
      <c r="A339">
        <v>20</v>
      </c>
      <c r="B339">
        <v>8.35</v>
      </c>
      <c r="C339">
        <v>41.23</v>
      </c>
      <c r="D339" t="s">
        <v>10</v>
      </c>
      <c r="G339" s="47"/>
    </row>
    <row r="340" spans="1:7" x14ac:dyDescent="0.35">
      <c r="A340">
        <v>41</v>
      </c>
      <c r="B340">
        <v>5.74</v>
      </c>
      <c r="C340">
        <v>77.319999999999993</v>
      </c>
      <c r="D340" t="s">
        <v>10</v>
      </c>
      <c r="G340" s="47"/>
    </row>
    <row r="341" spans="1:7" x14ac:dyDescent="0.35">
      <c r="A341">
        <v>5</v>
      </c>
      <c r="B341">
        <v>6.85</v>
      </c>
      <c r="C341">
        <v>54.74</v>
      </c>
      <c r="D341" t="s">
        <v>10</v>
      </c>
      <c r="G341" s="47"/>
    </row>
    <row r="342" spans="1:7" x14ac:dyDescent="0.35">
      <c r="A342">
        <v>7</v>
      </c>
      <c r="B342">
        <v>9.5</v>
      </c>
      <c r="C342">
        <v>47.91</v>
      </c>
      <c r="D342" t="s">
        <v>10</v>
      </c>
      <c r="G342" s="47"/>
    </row>
    <row r="343" spans="1:7" x14ac:dyDescent="0.35">
      <c r="A343">
        <v>48</v>
      </c>
      <c r="B343">
        <v>5.86</v>
      </c>
      <c r="C343">
        <v>77.989999999999995</v>
      </c>
      <c r="D343" t="s">
        <v>10</v>
      </c>
      <c r="G343" s="47"/>
    </row>
    <row r="344" spans="1:7" x14ac:dyDescent="0.35">
      <c r="A344">
        <v>27</v>
      </c>
      <c r="B344">
        <v>6.5</v>
      </c>
      <c r="C344">
        <v>44.27</v>
      </c>
      <c r="D344" t="s">
        <v>10</v>
      </c>
      <c r="G344" s="47"/>
    </row>
    <row r="345" spans="1:7" x14ac:dyDescent="0.35">
      <c r="A345">
        <v>44</v>
      </c>
      <c r="B345">
        <v>8.7899999999999991</v>
      </c>
      <c r="C345">
        <v>91.53</v>
      </c>
      <c r="D345" t="s">
        <v>10</v>
      </c>
      <c r="G345" s="47"/>
    </row>
    <row r="346" spans="1:7" x14ac:dyDescent="0.35">
      <c r="A346">
        <v>36</v>
      </c>
      <c r="B346">
        <v>6.71</v>
      </c>
      <c r="C346">
        <v>40.14</v>
      </c>
      <c r="D346" t="s">
        <v>10</v>
      </c>
      <c r="G346" s="47"/>
    </row>
    <row r="347" spans="1:7" x14ac:dyDescent="0.35">
      <c r="A347">
        <v>10</v>
      </c>
      <c r="B347">
        <v>7.27</v>
      </c>
      <c r="C347">
        <v>62.96</v>
      </c>
      <c r="D347" t="s">
        <v>10</v>
      </c>
      <c r="G347" s="47"/>
    </row>
    <row r="348" spans="1:7" x14ac:dyDescent="0.35">
      <c r="A348">
        <v>29</v>
      </c>
      <c r="B348">
        <v>6.91</v>
      </c>
      <c r="C348">
        <v>76.37</v>
      </c>
      <c r="D348" t="s">
        <v>10</v>
      </c>
      <c r="G348" s="47"/>
    </row>
    <row r="349" spans="1:7" x14ac:dyDescent="0.35">
      <c r="A349">
        <v>36</v>
      </c>
      <c r="B349">
        <v>6.94</v>
      </c>
      <c r="C349">
        <v>85.29</v>
      </c>
      <c r="D349" t="s">
        <v>10</v>
      </c>
      <c r="G349" s="47"/>
    </row>
    <row r="350" spans="1:7" x14ac:dyDescent="0.35">
      <c r="A350">
        <v>17</v>
      </c>
      <c r="B350">
        <v>5.24</v>
      </c>
      <c r="C350">
        <v>42.46</v>
      </c>
      <c r="D350" t="s">
        <v>10</v>
      </c>
      <c r="G350" s="47"/>
    </row>
    <row r="351" spans="1:7" x14ac:dyDescent="0.35">
      <c r="A351">
        <v>9</v>
      </c>
      <c r="B351">
        <v>4.4400000000000004</v>
      </c>
      <c r="C351">
        <v>34.409999999999997</v>
      </c>
      <c r="D351" t="s">
        <v>10</v>
      </c>
      <c r="G351" s="47"/>
    </row>
    <row r="352" spans="1:7" x14ac:dyDescent="0.35">
      <c r="A352">
        <v>28</v>
      </c>
      <c r="B352">
        <v>7.58</v>
      </c>
      <c r="C352">
        <v>54.71</v>
      </c>
      <c r="D352" t="s">
        <v>10</v>
      </c>
      <c r="G352" s="47"/>
    </row>
    <row r="353" spans="1:7" x14ac:dyDescent="0.35">
      <c r="A353">
        <v>16</v>
      </c>
      <c r="B353">
        <v>9.0399999999999991</v>
      </c>
      <c r="C353">
        <v>89.08</v>
      </c>
      <c r="D353" t="s">
        <v>10</v>
      </c>
      <c r="G353" s="47"/>
    </row>
    <row r="354" spans="1:7" x14ac:dyDescent="0.35">
      <c r="A354">
        <v>20</v>
      </c>
      <c r="B354">
        <v>7.84</v>
      </c>
      <c r="C354">
        <v>63.91</v>
      </c>
      <c r="D354" t="s">
        <v>10</v>
      </c>
      <c r="G354" s="47"/>
    </row>
    <row r="355" spans="1:7" x14ac:dyDescent="0.35">
      <c r="A355">
        <v>24</v>
      </c>
      <c r="B355">
        <v>5.18</v>
      </c>
      <c r="C355">
        <v>59.17</v>
      </c>
      <c r="D355" t="s">
        <v>10</v>
      </c>
      <c r="G355" s="47"/>
    </row>
    <row r="356" spans="1:7" x14ac:dyDescent="0.35">
      <c r="A356">
        <v>46</v>
      </c>
      <c r="B356">
        <v>8.14</v>
      </c>
      <c r="C356">
        <v>74.739999999999995</v>
      </c>
      <c r="D356" t="s">
        <v>10</v>
      </c>
      <c r="G356" s="47"/>
    </row>
    <row r="357" spans="1:7" x14ac:dyDescent="0.35">
      <c r="A357">
        <v>9</v>
      </c>
      <c r="B357">
        <v>9.57</v>
      </c>
      <c r="C357">
        <v>80.03</v>
      </c>
      <c r="D357" t="s">
        <v>10</v>
      </c>
      <c r="G357" s="47"/>
    </row>
    <row r="358" spans="1:7" x14ac:dyDescent="0.35">
      <c r="A358">
        <v>56</v>
      </c>
      <c r="B358">
        <v>6.51</v>
      </c>
      <c r="C358">
        <v>67.02</v>
      </c>
      <c r="D358" t="s">
        <v>10</v>
      </c>
      <c r="G358" s="47"/>
    </row>
    <row r="359" spans="1:7" x14ac:dyDescent="0.35">
      <c r="A359">
        <v>37</v>
      </c>
      <c r="B359">
        <v>8.65</v>
      </c>
      <c r="C359">
        <v>91.16</v>
      </c>
      <c r="D359" t="s">
        <v>10</v>
      </c>
      <c r="G359" s="47"/>
    </row>
    <row r="360" spans="1:7" x14ac:dyDescent="0.35">
      <c r="A360">
        <v>22</v>
      </c>
      <c r="B360">
        <v>6.09</v>
      </c>
      <c r="C360">
        <v>55.31</v>
      </c>
      <c r="D360" t="s">
        <v>10</v>
      </c>
      <c r="G360" s="47"/>
    </row>
    <row r="361" spans="1:7" x14ac:dyDescent="0.35">
      <c r="A361">
        <v>19</v>
      </c>
      <c r="B361">
        <v>7.79</v>
      </c>
      <c r="C361">
        <v>34.770000000000003</v>
      </c>
      <c r="D361" t="s">
        <v>10</v>
      </c>
      <c r="G361" s="47"/>
    </row>
    <row r="362" spans="1:7" x14ac:dyDescent="0.35">
      <c r="A362">
        <v>50</v>
      </c>
      <c r="B362">
        <v>5.58</v>
      </c>
      <c r="C362">
        <v>24.34</v>
      </c>
      <c r="D362" t="s">
        <v>10</v>
      </c>
      <c r="G362" s="47"/>
    </row>
    <row r="363" spans="1:7" x14ac:dyDescent="0.35">
      <c r="A363">
        <v>32</v>
      </c>
      <c r="B363">
        <v>8.68</v>
      </c>
      <c r="C363">
        <v>89.26</v>
      </c>
      <c r="D363" t="s">
        <v>10</v>
      </c>
      <c r="G363" s="47"/>
    </row>
    <row r="364" spans="1:7" x14ac:dyDescent="0.35">
      <c r="A364">
        <v>38</v>
      </c>
      <c r="B364">
        <v>7.81</v>
      </c>
      <c r="C364">
        <v>44.39</v>
      </c>
      <c r="D364" t="s">
        <v>10</v>
      </c>
      <c r="G364" s="47"/>
    </row>
    <row r="365" spans="1:7" x14ac:dyDescent="0.35">
      <c r="A365">
        <v>27</v>
      </c>
      <c r="B365">
        <v>5.22</v>
      </c>
      <c r="C365">
        <v>28.76</v>
      </c>
      <c r="D365" t="s">
        <v>10</v>
      </c>
      <c r="G365" s="47"/>
    </row>
    <row r="366" spans="1:7" x14ac:dyDescent="0.35">
      <c r="A366">
        <v>14</v>
      </c>
      <c r="B366">
        <v>8.6</v>
      </c>
      <c r="C366">
        <v>84.49</v>
      </c>
      <c r="D366" t="s">
        <v>10</v>
      </c>
      <c r="G366" s="47"/>
    </row>
    <row r="367" spans="1:7" x14ac:dyDescent="0.35">
      <c r="A367">
        <v>8</v>
      </c>
      <c r="B367">
        <v>4.22</v>
      </c>
      <c r="C367">
        <v>52.93</v>
      </c>
      <c r="D367" t="s">
        <v>10</v>
      </c>
      <c r="G367" s="47"/>
    </row>
    <row r="368" spans="1:7" x14ac:dyDescent="0.35">
      <c r="A368">
        <v>10</v>
      </c>
      <c r="B368">
        <v>6.95</v>
      </c>
      <c r="C368">
        <v>87.42</v>
      </c>
      <c r="D368" t="s">
        <v>10</v>
      </c>
      <c r="G368" s="47"/>
    </row>
    <row r="369" spans="1:7" x14ac:dyDescent="0.35">
      <c r="A369">
        <v>26</v>
      </c>
      <c r="B369">
        <v>6.82</v>
      </c>
      <c r="C369">
        <v>51.97</v>
      </c>
      <c r="D369" t="s">
        <v>10</v>
      </c>
      <c r="G369" s="47"/>
    </row>
    <row r="370" spans="1:7" x14ac:dyDescent="0.35">
      <c r="A370">
        <v>1</v>
      </c>
      <c r="B370">
        <v>9.06</v>
      </c>
      <c r="C370">
        <v>67.66</v>
      </c>
      <c r="D370" t="s">
        <v>10</v>
      </c>
      <c r="G370" s="47"/>
    </row>
    <row r="371" spans="1:7" x14ac:dyDescent="0.35">
      <c r="A371">
        <v>9</v>
      </c>
      <c r="B371">
        <v>6.7</v>
      </c>
      <c r="C371">
        <v>47.74</v>
      </c>
      <c r="D371" t="s">
        <v>10</v>
      </c>
      <c r="G371" s="47"/>
    </row>
    <row r="372" spans="1:7" x14ac:dyDescent="0.35">
      <c r="A372">
        <v>18</v>
      </c>
      <c r="B372">
        <v>4.0199999999999996</v>
      </c>
      <c r="C372">
        <v>70</v>
      </c>
      <c r="D372" t="s">
        <v>10</v>
      </c>
      <c r="G372" s="47"/>
    </row>
    <row r="373" spans="1:7" x14ac:dyDescent="0.35">
      <c r="A373">
        <v>15</v>
      </c>
      <c r="B373">
        <v>9.5299999999999994</v>
      </c>
      <c r="C373">
        <v>73.02</v>
      </c>
      <c r="D373" t="s">
        <v>10</v>
      </c>
      <c r="G373" s="47"/>
    </row>
    <row r="374" spans="1:7" x14ac:dyDescent="0.35">
      <c r="A374">
        <v>16</v>
      </c>
      <c r="B374">
        <v>6.49</v>
      </c>
      <c r="C374">
        <v>63.52</v>
      </c>
      <c r="D374" t="s">
        <v>10</v>
      </c>
      <c r="G374" s="47"/>
    </row>
    <row r="375" spans="1:7" x14ac:dyDescent="0.35">
      <c r="A375">
        <v>43</v>
      </c>
      <c r="B375">
        <v>8.85</v>
      </c>
      <c r="C375">
        <v>66.16</v>
      </c>
      <c r="D375" t="s">
        <v>10</v>
      </c>
      <c r="G375" s="47"/>
    </row>
    <row r="376" spans="1:7" x14ac:dyDescent="0.35">
      <c r="A376">
        <v>29</v>
      </c>
      <c r="B376">
        <v>6.27</v>
      </c>
      <c r="C376">
        <v>59.31</v>
      </c>
      <c r="D376" t="s">
        <v>10</v>
      </c>
      <c r="G376" s="47"/>
    </row>
    <row r="377" spans="1:7" x14ac:dyDescent="0.35">
      <c r="A377">
        <v>50</v>
      </c>
      <c r="B377">
        <v>6.18</v>
      </c>
      <c r="C377">
        <v>31.57</v>
      </c>
      <c r="D377" t="s">
        <v>10</v>
      </c>
      <c r="G377" s="47"/>
    </row>
    <row r="378" spans="1:7" x14ac:dyDescent="0.35">
      <c r="A378">
        <v>32</v>
      </c>
      <c r="B378">
        <v>8</v>
      </c>
      <c r="C378">
        <v>62.46</v>
      </c>
      <c r="D378" t="s">
        <v>10</v>
      </c>
      <c r="G378" s="47"/>
    </row>
    <row r="379" spans="1:7" x14ac:dyDescent="0.35">
      <c r="A379">
        <v>12</v>
      </c>
      <c r="B379">
        <v>6.96</v>
      </c>
      <c r="C379">
        <v>61.19</v>
      </c>
      <c r="D379" t="s">
        <v>10</v>
      </c>
      <c r="G379" s="47"/>
    </row>
    <row r="380" spans="1:7" x14ac:dyDescent="0.35">
      <c r="A380">
        <v>35</v>
      </c>
      <c r="B380">
        <v>9.56</v>
      </c>
      <c r="C380">
        <v>67.12</v>
      </c>
      <c r="D380" t="s">
        <v>10</v>
      </c>
      <c r="G380" s="47"/>
    </row>
    <row r="381" spans="1:7" x14ac:dyDescent="0.35">
      <c r="A381">
        <v>45</v>
      </c>
      <c r="B381">
        <v>6.06</v>
      </c>
      <c r="C381">
        <v>54.51</v>
      </c>
      <c r="D381" t="s">
        <v>10</v>
      </c>
      <c r="G381" s="47"/>
    </row>
    <row r="382" spans="1:7" x14ac:dyDescent="0.35">
      <c r="A382">
        <v>17</v>
      </c>
      <c r="B382">
        <v>7.7</v>
      </c>
      <c r="C382">
        <v>61.02</v>
      </c>
      <c r="D382" t="s">
        <v>10</v>
      </c>
      <c r="G382" s="47"/>
    </row>
    <row r="383" spans="1:7" x14ac:dyDescent="0.35">
      <c r="A383">
        <v>27</v>
      </c>
      <c r="B383">
        <v>5.05</v>
      </c>
      <c r="C383">
        <v>73.69</v>
      </c>
      <c r="D383" t="s">
        <v>10</v>
      </c>
      <c r="G383" s="47"/>
    </row>
    <row r="384" spans="1:7" x14ac:dyDescent="0.35">
      <c r="A384">
        <v>32</v>
      </c>
      <c r="B384">
        <v>7.38</v>
      </c>
      <c r="C384">
        <v>75.75</v>
      </c>
      <c r="D384" t="s">
        <v>10</v>
      </c>
      <c r="G384" s="47"/>
    </row>
    <row r="385" spans="1:7" x14ac:dyDescent="0.35">
      <c r="A385">
        <v>48</v>
      </c>
      <c r="B385">
        <v>6.23</v>
      </c>
      <c r="C385">
        <v>36.51</v>
      </c>
      <c r="D385" t="s">
        <v>10</v>
      </c>
      <c r="G385" s="47"/>
    </row>
    <row r="386" spans="1:7" x14ac:dyDescent="0.35">
      <c r="A386">
        <v>32</v>
      </c>
      <c r="B386">
        <v>7.19</v>
      </c>
      <c r="C386">
        <v>48.4</v>
      </c>
      <c r="D386" t="s">
        <v>10</v>
      </c>
      <c r="G386" s="47"/>
    </row>
    <row r="387" spans="1:7" x14ac:dyDescent="0.35">
      <c r="A387">
        <v>16</v>
      </c>
      <c r="B387">
        <v>9.3800000000000008</v>
      </c>
      <c r="C387">
        <v>90.42</v>
      </c>
      <c r="D387" t="s">
        <v>10</v>
      </c>
      <c r="G387" s="47"/>
    </row>
    <row r="388" spans="1:7" x14ac:dyDescent="0.35">
      <c r="A388">
        <v>39</v>
      </c>
      <c r="B388">
        <v>7.98</v>
      </c>
      <c r="C388">
        <v>55.94</v>
      </c>
      <c r="D388" t="s">
        <v>10</v>
      </c>
      <c r="G388" s="47"/>
    </row>
    <row r="389" spans="1:7" x14ac:dyDescent="0.35">
      <c r="A389">
        <v>16</v>
      </c>
      <c r="B389">
        <v>6.66</v>
      </c>
      <c r="C389">
        <v>55.42</v>
      </c>
      <c r="D389" t="s">
        <v>10</v>
      </c>
      <c r="G389" s="47"/>
    </row>
    <row r="390" spans="1:7" x14ac:dyDescent="0.35">
      <c r="A390">
        <v>10</v>
      </c>
      <c r="B390">
        <v>6.96</v>
      </c>
      <c r="C390">
        <v>47.98</v>
      </c>
      <c r="D390" t="s">
        <v>10</v>
      </c>
      <c r="G390" s="47"/>
    </row>
    <row r="391" spans="1:7" x14ac:dyDescent="0.35">
      <c r="A391">
        <v>24</v>
      </c>
      <c r="B391">
        <v>7.07</v>
      </c>
      <c r="C391">
        <v>92.83</v>
      </c>
      <c r="D391" t="s">
        <v>10</v>
      </c>
      <c r="G391" s="47"/>
    </row>
    <row r="392" spans="1:7" x14ac:dyDescent="0.35">
      <c r="A392">
        <v>64</v>
      </c>
      <c r="B392">
        <v>8.08</v>
      </c>
      <c r="C392">
        <v>89.18</v>
      </c>
      <c r="D392" t="s">
        <v>10</v>
      </c>
      <c r="G392" s="47"/>
    </row>
    <row r="393" spans="1:7" x14ac:dyDescent="0.35">
      <c r="A393">
        <v>34</v>
      </c>
      <c r="B393">
        <v>6.25</v>
      </c>
      <c r="C393">
        <v>35.03</v>
      </c>
      <c r="D393" t="s">
        <v>10</v>
      </c>
      <c r="G393" s="47"/>
    </row>
    <row r="394" spans="1:7" x14ac:dyDescent="0.35">
      <c r="A394">
        <v>37</v>
      </c>
      <c r="B394">
        <v>5.15</v>
      </c>
      <c r="C394">
        <v>36.72</v>
      </c>
      <c r="D394" t="s">
        <v>10</v>
      </c>
      <c r="G394" s="47"/>
    </row>
    <row r="395" spans="1:7" x14ac:dyDescent="0.35">
      <c r="A395">
        <v>25</v>
      </c>
      <c r="B395">
        <v>8.5500000000000007</v>
      </c>
      <c r="C395">
        <v>37.83</v>
      </c>
      <c r="D395" t="s">
        <v>10</v>
      </c>
      <c r="G395" s="47"/>
    </row>
    <row r="396" spans="1:7" x14ac:dyDescent="0.35">
      <c r="A396">
        <v>18</v>
      </c>
      <c r="B396">
        <v>7.31</v>
      </c>
      <c r="C396">
        <v>53.57</v>
      </c>
      <c r="D396" t="s">
        <v>10</v>
      </c>
      <c r="G396" s="47"/>
    </row>
    <row r="397" spans="1:7" x14ac:dyDescent="0.35">
      <c r="A397">
        <v>34</v>
      </c>
      <c r="B397">
        <v>8.41</v>
      </c>
      <c r="C397">
        <v>8.69</v>
      </c>
      <c r="D397" t="s">
        <v>10</v>
      </c>
      <c r="G397" s="47"/>
    </row>
    <row r="398" spans="1:7" x14ac:dyDescent="0.35">
      <c r="A398">
        <v>10</v>
      </c>
      <c r="B398">
        <v>5.65</v>
      </c>
      <c r="C398">
        <v>20.309999999999999</v>
      </c>
      <c r="D398" t="s">
        <v>10</v>
      </c>
      <c r="G398" s="47"/>
    </row>
    <row r="399" spans="1:7" x14ac:dyDescent="0.35">
      <c r="A399">
        <v>46</v>
      </c>
      <c r="B399">
        <v>9.6199999999999992</v>
      </c>
      <c r="C399">
        <v>92.89</v>
      </c>
      <c r="D399" t="s">
        <v>10</v>
      </c>
      <c r="G399" s="47"/>
    </row>
    <row r="400" spans="1:7" x14ac:dyDescent="0.35">
      <c r="A400">
        <v>25</v>
      </c>
      <c r="B400">
        <v>5.94</v>
      </c>
      <c r="C400">
        <v>100.07</v>
      </c>
      <c r="D400" t="s">
        <v>10</v>
      </c>
      <c r="G400" s="47"/>
    </row>
    <row r="401" spans="1:7" x14ac:dyDescent="0.35">
      <c r="A401">
        <v>19</v>
      </c>
      <c r="B401">
        <v>6.22</v>
      </c>
      <c r="C401">
        <v>33.18</v>
      </c>
      <c r="D401" t="s">
        <v>10</v>
      </c>
      <c r="G401" s="47"/>
    </row>
    <row r="402" spans="1:7" x14ac:dyDescent="0.35">
      <c r="A402">
        <v>7</v>
      </c>
      <c r="B402">
        <v>6.99</v>
      </c>
      <c r="C402">
        <v>57.18</v>
      </c>
      <c r="D402" t="s">
        <v>10</v>
      </c>
      <c r="G402" s="47"/>
    </row>
    <row r="403" spans="1:7" x14ac:dyDescent="0.35">
      <c r="A403">
        <v>17</v>
      </c>
      <c r="B403">
        <v>6.05</v>
      </c>
      <c r="C403">
        <v>67.25</v>
      </c>
      <c r="D403" t="s">
        <v>10</v>
      </c>
      <c r="G403" s="47"/>
    </row>
    <row r="404" spans="1:7" x14ac:dyDescent="0.35">
      <c r="A404">
        <v>26</v>
      </c>
      <c r="B404">
        <v>5.31</v>
      </c>
      <c r="C404">
        <v>52.1</v>
      </c>
      <c r="D404" t="s">
        <v>10</v>
      </c>
      <c r="G404" s="47"/>
    </row>
    <row r="405" spans="1:7" x14ac:dyDescent="0.35">
      <c r="A405">
        <v>49</v>
      </c>
      <c r="B405">
        <v>5.61</v>
      </c>
      <c r="C405">
        <v>71.069999999999993</v>
      </c>
      <c r="D405" t="s">
        <v>10</v>
      </c>
      <c r="G405" s="47"/>
    </row>
    <row r="406" spans="1:7" x14ac:dyDescent="0.35">
      <c r="A406">
        <v>24</v>
      </c>
      <c r="B406">
        <v>8.83</v>
      </c>
      <c r="C406">
        <v>76.27</v>
      </c>
      <c r="D406" t="s">
        <v>10</v>
      </c>
      <c r="G406" s="47"/>
    </row>
    <row r="407" spans="1:7" x14ac:dyDescent="0.35">
      <c r="A407">
        <v>25</v>
      </c>
      <c r="B407">
        <v>4.57</v>
      </c>
      <c r="C407">
        <v>45.88</v>
      </c>
      <c r="D407" t="s">
        <v>10</v>
      </c>
      <c r="G407" s="47"/>
    </row>
    <row r="408" spans="1:7" x14ac:dyDescent="0.35">
      <c r="A408">
        <v>17</v>
      </c>
      <c r="B408">
        <v>5.99</v>
      </c>
      <c r="C408">
        <v>80.13</v>
      </c>
      <c r="D408" t="s">
        <v>10</v>
      </c>
      <c r="G408" s="47"/>
    </row>
    <row r="409" spans="1:7" x14ac:dyDescent="0.35">
      <c r="A409">
        <v>42</v>
      </c>
      <c r="B409">
        <v>7.67</v>
      </c>
      <c r="C409">
        <v>58.01</v>
      </c>
      <c r="D409" t="s">
        <v>10</v>
      </c>
      <c r="G409" s="47"/>
    </row>
    <row r="410" spans="1:7" x14ac:dyDescent="0.35">
      <c r="A410">
        <v>29</v>
      </c>
      <c r="B410">
        <v>8.2899999999999991</v>
      </c>
      <c r="C410">
        <v>50.65</v>
      </c>
      <c r="D410" t="s">
        <v>10</v>
      </c>
      <c r="G410" s="47"/>
    </row>
    <row r="411" spans="1:7" x14ac:dyDescent="0.35">
      <c r="A411">
        <v>9</v>
      </c>
      <c r="B411">
        <v>9.23</v>
      </c>
      <c r="C411">
        <v>82.68</v>
      </c>
      <c r="D411" t="s">
        <v>10</v>
      </c>
      <c r="G411" s="47"/>
    </row>
    <row r="412" spans="1:7" x14ac:dyDescent="0.35">
      <c r="A412">
        <v>36</v>
      </c>
      <c r="B412">
        <v>5.98</v>
      </c>
      <c r="C412">
        <v>56.8</v>
      </c>
      <c r="D412" t="s">
        <v>10</v>
      </c>
      <c r="G412" s="47"/>
    </row>
    <row r="413" spans="1:7" x14ac:dyDescent="0.35">
      <c r="A413">
        <v>15</v>
      </c>
      <c r="B413">
        <v>5.35</v>
      </c>
      <c r="C413">
        <v>43.32</v>
      </c>
      <c r="D413" t="s">
        <v>10</v>
      </c>
      <c r="G413" s="47"/>
    </row>
    <row r="414" spans="1:7" x14ac:dyDescent="0.35">
      <c r="A414">
        <v>24</v>
      </c>
      <c r="B414">
        <v>9.02</v>
      </c>
      <c r="C414">
        <v>68.38</v>
      </c>
      <c r="D414" t="s">
        <v>10</v>
      </c>
      <c r="G414" s="47"/>
    </row>
    <row r="415" spans="1:7" x14ac:dyDescent="0.35">
      <c r="A415">
        <v>28</v>
      </c>
      <c r="B415">
        <v>7.27</v>
      </c>
      <c r="C415">
        <v>33.450000000000003</v>
      </c>
      <c r="D415" t="s">
        <v>10</v>
      </c>
      <c r="G415" s="47"/>
    </row>
    <row r="416" spans="1:7" x14ac:dyDescent="0.35">
      <c r="A416">
        <v>26</v>
      </c>
      <c r="B416">
        <v>9.3000000000000007</v>
      </c>
      <c r="C416">
        <v>78.83</v>
      </c>
      <c r="D416" t="s">
        <v>10</v>
      </c>
      <c r="G416" s="47"/>
    </row>
    <row r="417" spans="1:7" x14ac:dyDescent="0.35">
      <c r="A417">
        <v>20</v>
      </c>
      <c r="B417">
        <v>6.75</v>
      </c>
      <c r="C417">
        <v>79.989999999999995</v>
      </c>
      <c r="D417" t="s">
        <v>10</v>
      </c>
      <c r="G417" s="47"/>
    </row>
    <row r="418" spans="1:7" x14ac:dyDescent="0.35">
      <c r="A418">
        <v>36</v>
      </c>
      <c r="B418">
        <v>8.8800000000000008</v>
      </c>
      <c r="C418">
        <v>73.25</v>
      </c>
      <c r="D418" t="s">
        <v>10</v>
      </c>
      <c r="G418" s="47"/>
    </row>
    <row r="419" spans="1:7" x14ac:dyDescent="0.35">
      <c r="A419">
        <v>36</v>
      </c>
      <c r="B419">
        <v>7.25</v>
      </c>
      <c r="C419">
        <v>42.01</v>
      </c>
      <c r="D419" t="s">
        <v>10</v>
      </c>
      <c r="G419" s="47"/>
    </row>
    <row r="420" spans="1:7" x14ac:dyDescent="0.35">
      <c r="A420">
        <v>5</v>
      </c>
      <c r="B420">
        <v>6.8</v>
      </c>
      <c r="C420">
        <v>61.9</v>
      </c>
      <c r="D420" t="s">
        <v>10</v>
      </c>
      <c r="G420" s="47"/>
    </row>
    <row r="421" spans="1:7" x14ac:dyDescent="0.35">
      <c r="A421">
        <v>15</v>
      </c>
      <c r="B421">
        <v>6.65</v>
      </c>
      <c r="C421">
        <v>54.56</v>
      </c>
      <c r="D421" t="s">
        <v>10</v>
      </c>
      <c r="G421" s="47"/>
    </row>
    <row r="422" spans="1:7" x14ac:dyDescent="0.35">
      <c r="A422">
        <v>28</v>
      </c>
      <c r="B422">
        <v>6.93</v>
      </c>
      <c r="C422">
        <v>71.62</v>
      </c>
      <c r="D422" t="s">
        <v>10</v>
      </c>
      <c r="G422" s="47"/>
    </row>
    <row r="423" spans="1:7" x14ac:dyDescent="0.35">
      <c r="A423">
        <v>35</v>
      </c>
      <c r="B423">
        <v>8.74</v>
      </c>
      <c r="C423">
        <v>72.92</v>
      </c>
      <c r="D423" t="s">
        <v>10</v>
      </c>
      <c r="G423" s="47"/>
    </row>
    <row r="424" spans="1:7" x14ac:dyDescent="0.35">
      <c r="A424">
        <v>29</v>
      </c>
      <c r="B424">
        <v>7.9</v>
      </c>
      <c r="C424">
        <v>41.49</v>
      </c>
      <c r="D424" t="s">
        <v>10</v>
      </c>
      <c r="G424" s="47"/>
    </row>
    <row r="425" spans="1:7" x14ac:dyDescent="0.35">
      <c r="A425">
        <v>42</v>
      </c>
      <c r="B425">
        <v>6.73</v>
      </c>
      <c r="C425">
        <v>67.739999999999995</v>
      </c>
      <c r="D425" t="s">
        <v>10</v>
      </c>
      <c r="G425" s="47"/>
    </row>
    <row r="426" spans="1:7" x14ac:dyDescent="0.35">
      <c r="A426">
        <v>14</v>
      </c>
      <c r="B426">
        <v>5.79</v>
      </c>
      <c r="C426">
        <v>43.41</v>
      </c>
      <c r="D426" t="s">
        <v>10</v>
      </c>
      <c r="G426" s="47"/>
    </row>
    <row r="427" spans="1:7" x14ac:dyDescent="0.35">
      <c r="A427">
        <v>25</v>
      </c>
      <c r="B427">
        <v>4.99</v>
      </c>
      <c r="C427">
        <v>42.91</v>
      </c>
      <c r="D427" t="s">
        <v>10</v>
      </c>
      <c r="G427" s="47"/>
    </row>
    <row r="428" spans="1:7" x14ac:dyDescent="0.35">
      <c r="A428">
        <v>5</v>
      </c>
      <c r="B428">
        <v>8.52</v>
      </c>
      <c r="C428">
        <v>66.650000000000006</v>
      </c>
      <c r="D428" t="s">
        <v>10</v>
      </c>
      <c r="G428" s="47"/>
    </row>
    <row r="429" spans="1:7" x14ac:dyDescent="0.35">
      <c r="A429">
        <v>74</v>
      </c>
      <c r="B429">
        <v>6.65</v>
      </c>
      <c r="C429">
        <v>55.63</v>
      </c>
      <c r="D429" t="s">
        <v>10</v>
      </c>
      <c r="G429" s="47"/>
    </row>
    <row r="430" spans="1:7" x14ac:dyDescent="0.35">
      <c r="A430">
        <v>2</v>
      </c>
      <c r="B430">
        <v>7.12</v>
      </c>
      <c r="C430">
        <v>89.46</v>
      </c>
      <c r="D430" t="s">
        <v>10</v>
      </c>
      <c r="G430" s="47"/>
    </row>
    <row r="431" spans="1:7" x14ac:dyDescent="0.35">
      <c r="A431">
        <v>51</v>
      </c>
      <c r="B431">
        <v>7.45</v>
      </c>
      <c r="C431">
        <v>35.75</v>
      </c>
      <c r="D431" t="s">
        <v>10</v>
      </c>
      <c r="G431" s="47"/>
    </row>
    <row r="432" spans="1:7" x14ac:dyDescent="0.35">
      <c r="A432">
        <v>38</v>
      </c>
      <c r="B432">
        <v>6.02</v>
      </c>
      <c r="C432">
        <v>45.03</v>
      </c>
      <c r="D432" t="s">
        <v>10</v>
      </c>
      <c r="G432" s="47"/>
    </row>
    <row r="433" spans="1:7" x14ac:dyDescent="0.35">
      <c r="A433">
        <v>21</v>
      </c>
      <c r="B433">
        <v>7.87</v>
      </c>
      <c r="C433">
        <v>55.21</v>
      </c>
      <c r="D433" t="s">
        <v>10</v>
      </c>
      <c r="G433" s="47"/>
    </row>
    <row r="434" spans="1:7" x14ac:dyDescent="0.35">
      <c r="A434">
        <v>48</v>
      </c>
      <c r="B434">
        <v>4.6900000000000004</v>
      </c>
      <c r="C434">
        <v>61.81</v>
      </c>
      <c r="D434" t="s">
        <v>10</v>
      </c>
      <c r="G434" s="47"/>
    </row>
    <row r="435" spans="1:7" x14ac:dyDescent="0.35">
      <c r="A435">
        <v>14</v>
      </c>
      <c r="B435">
        <v>6.74</v>
      </c>
      <c r="C435">
        <v>79.67</v>
      </c>
      <c r="D435" t="s">
        <v>10</v>
      </c>
      <c r="G435" s="47"/>
    </row>
    <row r="436" spans="1:7" x14ac:dyDescent="0.35">
      <c r="A436">
        <v>38</v>
      </c>
      <c r="B436">
        <v>4.92</v>
      </c>
      <c r="C436">
        <v>38.86</v>
      </c>
      <c r="D436" t="s">
        <v>10</v>
      </c>
      <c r="G436" s="47"/>
    </row>
    <row r="437" spans="1:7" x14ac:dyDescent="0.35">
      <c r="A437">
        <v>36</v>
      </c>
      <c r="B437">
        <v>7.25</v>
      </c>
      <c r="C437">
        <v>91.39</v>
      </c>
      <c r="D437" t="s">
        <v>10</v>
      </c>
      <c r="G437" s="47"/>
    </row>
    <row r="438" spans="1:7" x14ac:dyDescent="0.35">
      <c r="A438">
        <v>22</v>
      </c>
      <c r="B438">
        <v>5.05</v>
      </c>
      <c r="C438">
        <v>45.65</v>
      </c>
      <c r="D438" t="s">
        <v>10</v>
      </c>
      <c r="G438" s="47"/>
    </row>
    <row r="439" spans="1:7" x14ac:dyDescent="0.35">
      <c r="A439">
        <v>24</v>
      </c>
      <c r="B439">
        <v>5.65</v>
      </c>
      <c r="C439">
        <v>65.02</v>
      </c>
      <c r="D439" t="s">
        <v>10</v>
      </c>
      <c r="G439" s="47"/>
    </row>
    <row r="440" spans="1:7" x14ac:dyDescent="0.35">
      <c r="A440">
        <v>22</v>
      </c>
      <c r="B440">
        <v>9.1999999999999993</v>
      </c>
      <c r="C440">
        <v>72.510000000000005</v>
      </c>
      <c r="D440" t="s">
        <v>10</v>
      </c>
      <c r="G440" s="47"/>
    </row>
    <row r="441" spans="1:7" x14ac:dyDescent="0.35">
      <c r="A441">
        <v>29</v>
      </c>
      <c r="B441">
        <v>6.32</v>
      </c>
      <c r="C441">
        <v>73.260000000000005</v>
      </c>
      <c r="D441" t="s">
        <v>10</v>
      </c>
      <c r="G441" s="47"/>
    </row>
    <row r="442" spans="1:7" x14ac:dyDescent="0.35">
      <c r="A442">
        <v>7</v>
      </c>
      <c r="B442">
        <v>4.3899999999999997</v>
      </c>
      <c r="C442">
        <v>20.170000000000002</v>
      </c>
      <c r="D442" t="s">
        <v>10</v>
      </c>
      <c r="G442" s="47"/>
    </row>
    <row r="443" spans="1:7" x14ac:dyDescent="0.35">
      <c r="A443">
        <v>43</v>
      </c>
      <c r="B443">
        <v>9.18</v>
      </c>
      <c r="C443">
        <v>65.19</v>
      </c>
      <c r="D443" t="s">
        <v>10</v>
      </c>
      <c r="G443" s="47"/>
    </row>
    <row r="444" spans="1:7" x14ac:dyDescent="0.35">
      <c r="A444">
        <v>15</v>
      </c>
      <c r="B444">
        <v>7.42</v>
      </c>
      <c r="C444">
        <v>53.4</v>
      </c>
      <c r="D444" t="s">
        <v>10</v>
      </c>
      <c r="G444" s="47"/>
    </row>
    <row r="445" spans="1:7" x14ac:dyDescent="0.35">
      <c r="A445">
        <v>14</v>
      </c>
      <c r="B445">
        <v>9.69</v>
      </c>
      <c r="C445">
        <v>82.07</v>
      </c>
      <c r="D445" t="s">
        <v>10</v>
      </c>
      <c r="G445" s="47"/>
    </row>
    <row r="446" spans="1:7" x14ac:dyDescent="0.35">
      <c r="A446">
        <v>2</v>
      </c>
      <c r="B446">
        <v>6.03</v>
      </c>
      <c r="C446">
        <v>66.72</v>
      </c>
      <c r="D446" t="s">
        <v>10</v>
      </c>
      <c r="G446" s="47"/>
    </row>
    <row r="447" spans="1:7" x14ac:dyDescent="0.35">
      <c r="A447">
        <v>68</v>
      </c>
      <c r="B447">
        <v>4.37</v>
      </c>
      <c r="C447">
        <v>23.31</v>
      </c>
      <c r="D447" t="s">
        <v>10</v>
      </c>
      <c r="G447" s="47"/>
    </row>
    <row r="448" spans="1:7" x14ac:dyDescent="0.35">
      <c r="A448">
        <v>19</v>
      </c>
      <c r="B448">
        <v>7.73</v>
      </c>
      <c r="C448">
        <v>75.430000000000007</v>
      </c>
      <c r="D448" t="s">
        <v>10</v>
      </c>
      <c r="G448" s="47"/>
    </row>
    <row r="449" spans="1:7" x14ac:dyDescent="0.35">
      <c r="A449">
        <v>10</v>
      </c>
      <c r="B449">
        <v>4.8</v>
      </c>
      <c r="C449">
        <v>29.99</v>
      </c>
      <c r="D449" t="s">
        <v>10</v>
      </c>
      <c r="G449" s="47"/>
    </row>
    <row r="450" spans="1:7" x14ac:dyDescent="0.35">
      <c r="A450">
        <v>29</v>
      </c>
      <c r="B450">
        <v>4.8499999999999996</v>
      </c>
      <c r="C450">
        <v>59.93</v>
      </c>
      <c r="D450" t="s">
        <v>10</v>
      </c>
      <c r="G450" s="47"/>
    </row>
    <row r="451" spans="1:7" x14ac:dyDescent="0.35">
      <c r="A451">
        <v>50</v>
      </c>
      <c r="B451">
        <v>8.42</v>
      </c>
      <c r="C451">
        <v>88.33</v>
      </c>
      <c r="D451" t="s">
        <v>10</v>
      </c>
      <c r="G451" s="47"/>
    </row>
    <row r="452" spans="1:7" x14ac:dyDescent="0.35">
      <c r="A452">
        <v>2</v>
      </c>
      <c r="B452">
        <v>9.73</v>
      </c>
      <c r="C452">
        <v>94.71</v>
      </c>
      <c r="D452" t="s">
        <v>10</v>
      </c>
      <c r="G452" s="47"/>
    </row>
    <row r="453" spans="1:7" x14ac:dyDescent="0.35">
      <c r="A453">
        <v>40</v>
      </c>
      <c r="B453">
        <v>9.27</v>
      </c>
      <c r="C453">
        <v>55.3</v>
      </c>
      <c r="D453" t="s">
        <v>10</v>
      </c>
      <c r="G453" s="47"/>
    </row>
    <row r="454" spans="1:7" x14ac:dyDescent="0.35">
      <c r="A454">
        <v>23</v>
      </c>
      <c r="B454">
        <v>4.6100000000000003</v>
      </c>
      <c r="C454">
        <v>41.34</v>
      </c>
      <c r="D454" t="s">
        <v>10</v>
      </c>
      <c r="G454" s="47"/>
    </row>
    <row r="455" spans="1:7" x14ac:dyDescent="0.35">
      <c r="A455">
        <v>35</v>
      </c>
      <c r="B455">
        <v>7.46</v>
      </c>
      <c r="C455">
        <v>55.88</v>
      </c>
      <c r="D455" t="s">
        <v>10</v>
      </c>
      <c r="G455" s="47"/>
    </row>
    <row r="456" spans="1:7" x14ac:dyDescent="0.35">
      <c r="A456">
        <v>36</v>
      </c>
      <c r="B456">
        <v>5.86</v>
      </c>
      <c r="C456">
        <v>50.94</v>
      </c>
      <c r="D456" t="s">
        <v>10</v>
      </c>
      <c r="G456" s="47"/>
    </row>
    <row r="457" spans="1:7" x14ac:dyDescent="0.35">
      <c r="A457">
        <v>8</v>
      </c>
      <c r="B457">
        <v>9.1999999999999993</v>
      </c>
      <c r="C457">
        <v>73.45</v>
      </c>
      <c r="D457" t="s">
        <v>10</v>
      </c>
      <c r="G457" s="47"/>
    </row>
    <row r="458" spans="1:7" x14ac:dyDescent="0.35">
      <c r="A458">
        <v>20</v>
      </c>
      <c r="B458">
        <v>4.46</v>
      </c>
      <c r="C458">
        <v>34.049999999999997</v>
      </c>
      <c r="D458" t="s">
        <v>10</v>
      </c>
      <c r="G458" s="47"/>
    </row>
    <row r="459" spans="1:7" x14ac:dyDescent="0.35">
      <c r="A459">
        <v>37</v>
      </c>
      <c r="B459">
        <v>9.44</v>
      </c>
      <c r="C459">
        <v>61.2</v>
      </c>
      <c r="D459" t="s">
        <v>10</v>
      </c>
      <c r="G459" s="47"/>
    </row>
    <row r="460" spans="1:7" x14ac:dyDescent="0.35">
      <c r="A460">
        <v>46</v>
      </c>
      <c r="B460">
        <v>9.4700000000000006</v>
      </c>
      <c r="C460">
        <v>75.08</v>
      </c>
      <c r="D460" t="s">
        <v>10</v>
      </c>
      <c r="G460" s="47"/>
    </row>
    <row r="461" spans="1:7" x14ac:dyDescent="0.35">
      <c r="A461">
        <v>26</v>
      </c>
      <c r="B461">
        <v>7.81</v>
      </c>
      <c r="C461">
        <v>71.47</v>
      </c>
      <c r="D461" t="s">
        <v>10</v>
      </c>
      <c r="G461" s="47"/>
    </row>
    <row r="462" spans="1:7" x14ac:dyDescent="0.35">
      <c r="A462">
        <v>31</v>
      </c>
      <c r="B462">
        <v>6.34</v>
      </c>
      <c r="C462">
        <v>56.08</v>
      </c>
      <c r="D462" t="s">
        <v>10</v>
      </c>
      <c r="G462" s="47"/>
    </row>
    <row r="463" spans="1:7" x14ac:dyDescent="0.35">
      <c r="A463">
        <v>40</v>
      </c>
      <c r="B463">
        <v>5.5</v>
      </c>
      <c r="C463">
        <v>70.36</v>
      </c>
      <c r="D463" t="s">
        <v>10</v>
      </c>
      <c r="G463" s="47"/>
    </row>
    <row r="464" spans="1:7" x14ac:dyDescent="0.35">
      <c r="A464">
        <v>34</v>
      </c>
      <c r="B464">
        <v>9.99</v>
      </c>
      <c r="C464">
        <v>92.22</v>
      </c>
      <c r="D464" t="s">
        <v>10</v>
      </c>
      <c r="G464" s="47"/>
    </row>
    <row r="465" spans="1:7" x14ac:dyDescent="0.35">
      <c r="A465">
        <v>34</v>
      </c>
      <c r="B465">
        <v>8.89</v>
      </c>
      <c r="C465">
        <v>85.79</v>
      </c>
      <c r="D465" t="s">
        <v>10</v>
      </c>
      <c r="G465" s="47"/>
    </row>
    <row r="466" spans="1:7" x14ac:dyDescent="0.35">
      <c r="A466">
        <v>23</v>
      </c>
      <c r="B466">
        <v>9.3000000000000007</v>
      </c>
      <c r="C466">
        <v>58.26</v>
      </c>
      <c r="D466" t="s">
        <v>10</v>
      </c>
      <c r="G466" s="47"/>
    </row>
    <row r="467" spans="1:7" x14ac:dyDescent="0.35">
      <c r="A467">
        <v>8</v>
      </c>
      <c r="B467">
        <v>6.67</v>
      </c>
      <c r="C467">
        <v>50.18</v>
      </c>
      <c r="D467" t="s">
        <v>10</v>
      </c>
      <c r="G467" s="47"/>
    </row>
    <row r="468" spans="1:7" x14ac:dyDescent="0.35">
      <c r="A468">
        <v>18</v>
      </c>
      <c r="B468">
        <v>6.54</v>
      </c>
      <c r="C468">
        <v>60.5</v>
      </c>
      <c r="D468" t="s">
        <v>10</v>
      </c>
      <c r="G468" s="47"/>
    </row>
    <row r="469" spans="1:7" x14ac:dyDescent="0.35">
      <c r="A469">
        <v>38</v>
      </c>
      <c r="B469">
        <v>6.92</v>
      </c>
      <c r="C469">
        <v>50.8</v>
      </c>
      <c r="D469" t="s">
        <v>10</v>
      </c>
      <c r="G469" s="47"/>
    </row>
    <row r="470" spans="1:7" x14ac:dyDescent="0.35">
      <c r="A470">
        <v>33</v>
      </c>
      <c r="B470">
        <v>5.91</v>
      </c>
      <c r="C470">
        <v>54.85</v>
      </c>
      <c r="D470" t="s">
        <v>10</v>
      </c>
      <c r="G470" s="47"/>
    </row>
    <row r="471" spans="1:7" x14ac:dyDescent="0.35">
      <c r="A471">
        <v>1</v>
      </c>
      <c r="B471">
        <v>5.76</v>
      </c>
      <c r="C471">
        <v>36.57</v>
      </c>
      <c r="D471" t="s">
        <v>10</v>
      </c>
      <c r="G471" s="47"/>
    </row>
    <row r="472" spans="1:7" x14ac:dyDescent="0.35">
      <c r="A472">
        <v>28</v>
      </c>
      <c r="B472">
        <v>9.27</v>
      </c>
      <c r="C472">
        <v>81.64</v>
      </c>
      <c r="D472" t="s">
        <v>10</v>
      </c>
      <c r="G472" s="47"/>
    </row>
    <row r="473" spans="1:7" x14ac:dyDescent="0.35">
      <c r="A473">
        <v>40</v>
      </c>
      <c r="B473">
        <v>9.2100000000000009</v>
      </c>
      <c r="C473">
        <v>67.63</v>
      </c>
      <c r="D473" t="s">
        <v>10</v>
      </c>
      <c r="G473" s="47"/>
    </row>
    <row r="474" spans="1:7" x14ac:dyDescent="0.35">
      <c r="A474">
        <v>41</v>
      </c>
      <c r="B474">
        <v>4.6399999999999997</v>
      </c>
      <c r="C474">
        <v>38.450000000000003</v>
      </c>
      <c r="D474" t="s">
        <v>10</v>
      </c>
      <c r="G474" s="47"/>
    </row>
    <row r="475" spans="1:7" x14ac:dyDescent="0.35">
      <c r="A475">
        <v>31</v>
      </c>
      <c r="B475">
        <v>7.46</v>
      </c>
      <c r="C475">
        <v>52.4</v>
      </c>
      <c r="D475" t="s">
        <v>10</v>
      </c>
      <c r="G475" s="47"/>
    </row>
    <row r="476" spans="1:7" x14ac:dyDescent="0.35">
      <c r="A476">
        <v>57</v>
      </c>
      <c r="B476">
        <v>5.85</v>
      </c>
      <c r="C476">
        <v>28.16</v>
      </c>
      <c r="D476" t="s">
        <v>10</v>
      </c>
      <c r="G476" s="47"/>
    </row>
    <row r="477" spans="1:7" x14ac:dyDescent="0.35">
      <c r="A477">
        <v>43</v>
      </c>
      <c r="B477">
        <v>6.23</v>
      </c>
      <c r="C477">
        <v>42.26</v>
      </c>
      <c r="D477" t="s">
        <v>10</v>
      </c>
      <c r="G477" s="47"/>
    </row>
    <row r="478" spans="1:7" x14ac:dyDescent="0.35">
      <c r="A478">
        <v>24</v>
      </c>
      <c r="B478">
        <v>6.46</v>
      </c>
      <c r="C478">
        <v>50.33</v>
      </c>
      <c r="D478" t="s">
        <v>10</v>
      </c>
      <c r="G478" s="47"/>
    </row>
    <row r="479" spans="1:7" x14ac:dyDescent="0.35">
      <c r="A479">
        <v>32</v>
      </c>
      <c r="B479">
        <v>7.48</v>
      </c>
      <c r="C479">
        <v>49.8</v>
      </c>
      <c r="D479" t="s">
        <v>10</v>
      </c>
      <c r="G479" s="47"/>
    </row>
    <row r="480" spans="1:7" x14ac:dyDescent="0.35">
      <c r="A480">
        <v>48</v>
      </c>
      <c r="B480">
        <v>5.93</v>
      </c>
      <c r="C480">
        <v>10.96</v>
      </c>
      <c r="D480" t="s">
        <v>10</v>
      </c>
      <c r="G480" s="47"/>
    </row>
    <row r="481" spans="1:7" x14ac:dyDescent="0.35">
      <c r="A481">
        <v>51</v>
      </c>
      <c r="B481">
        <v>4.96</v>
      </c>
      <c r="C481">
        <v>35.53</v>
      </c>
      <c r="D481" t="s">
        <v>10</v>
      </c>
      <c r="G481" s="47"/>
    </row>
    <row r="482" spans="1:7" x14ac:dyDescent="0.35">
      <c r="A482">
        <v>7</v>
      </c>
      <c r="B482">
        <v>4.0599999999999996</v>
      </c>
      <c r="C482">
        <v>21.98</v>
      </c>
      <c r="D482" t="s">
        <v>10</v>
      </c>
      <c r="G482" s="47"/>
    </row>
    <row r="483" spans="1:7" x14ac:dyDescent="0.35">
      <c r="A483">
        <v>29</v>
      </c>
      <c r="B483">
        <v>4.1500000000000004</v>
      </c>
      <c r="C483">
        <v>20.84</v>
      </c>
      <c r="D483" t="s">
        <v>10</v>
      </c>
      <c r="G483" s="47"/>
    </row>
    <row r="484" spans="1:7" x14ac:dyDescent="0.35">
      <c r="A484">
        <v>32</v>
      </c>
      <c r="B484">
        <v>4.3099999999999996</v>
      </c>
      <c r="C484">
        <v>33.97</v>
      </c>
      <c r="D484" t="s">
        <v>10</v>
      </c>
      <c r="G484" s="47"/>
    </row>
    <row r="485" spans="1:7" x14ac:dyDescent="0.35">
      <c r="A485">
        <v>39</v>
      </c>
      <c r="B485">
        <v>7.07</v>
      </c>
      <c r="C485">
        <v>48.18</v>
      </c>
      <c r="D485" t="s">
        <v>10</v>
      </c>
      <c r="G485" s="47"/>
    </row>
    <row r="486" spans="1:7" x14ac:dyDescent="0.35">
      <c r="A486">
        <v>37</v>
      </c>
      <c r="B486">
        <v>6.64</v>
      </c>
      <c r="C486">
        <v>66.959999999999994</v>
      </c>
      <c r="D486" t="s">
        <v>10</v>
      </c>
      <c r="G486" s="47"/>
    </row>
    <row r="487" spans="1:7" x14ac:dyDescent="0.35">
      <c r="A487">
        <v>15</v>
      </c>
      <c r="B487">
        <v>4.62</v>
      </c>
      <c r="C487">
        <v>65.36</v>
      </c>
      <c r="D487" t="s">
        <v>10</v>
      </c>
      <c r="G487" s="47"/>
    </row>
    <row r="488" spans="1:7" x14ac:dyDescent="0.35">
      <c r="A488">
        <v>52</v>
      </c>
      <c r="B488">
        <v>4.03</v>
      </c>
      <c r="C488">
        <v>25.68</v>
      </c>
      <c r="D488" t="s">
        <v>10</v>
      </c>
      <c r="G488" s="47"/>
    </row>
    <row r="489" spans="1:7" x14ac:dyDescent="0.35">
      <c r="A489">
        <v>23</v>
      </c>
      <c r="B489">
        <v>8.9700000000000006</v>
      </c>
      <c r="C489">
        <v>53.51</v>
      </c>
      <c r="D489" t="s">
        <v>10</v>
      </c>
      <c r="G489" s="47"/>
    </row>
    <row r="490" spans="1:7" x14ac:dyDescent="0.35">
      <c r="A490">
        <v>50</v>
      </c>
      <c r="B490">
        <v>5.21</v>
      </c>
      <c r="C490">
        <v>92.88</v>
      </c>
      <c r="D490" t="s">
        <v>10</v>
      </c>
      <c r="G490" s="47"/>
    </row>
    <row r="491" spans="1:7" x14ac:dyDescent="0.35">
      <c r="A491">
        <v>17</v>
      </c>
      <c r="B491">
        <v>7.93</v>
      </c>
      <c r="C491">
        <v>61.63</v>
      </c>
      <c r="D491" t="s">
        <v>10</v>
      </c>
      <c r="G491" s="47"/>
    </row>
    <row r="492" spans="1:7" x14ac:dyDescent="0.35">
      <c r="A492">
        <v>19</v>
      </c>
      <c r="B492">
        <v>4.12</v>
      </c>
      <c r="C492">
        <v>37.869999999999997</v>
      </c>
      <c r="D492" t="s">
        <v>10</v>
      </c>
      <c r="G492" s="47"/>
    </row>
    <row r="493" spans="1:7" x14ac:dyDescent="0.35">
      <c r="A493">
        <v>8</v>
      </c>
      <c r="B493">
        <v>4.62</v>
      </c>
      <c r="C493">
        <v>24.61</v>
      </c>
      <c r="D493" t="s">
        <v>10</v>
      </c>
      <c r="G493" s="47"/>
    </row>
    <row r="494" spans="1:7" x14ac:dyDescent="0.35">
      <c r="A494">
        <v>4</v>
      </c>
      <c r="B494">
        <v>7.06</v>
      </c>
      <c r="C494">
        <v>40.79</v>
      </c>
      <c r="D494" t="s">
        <v>10</v>
      </c>
      <c r="G494" s="47"/>
    </row>
    <row r="495" spans="1:7" x14ac:dyDescent="0.35">
      <c r="A495">
        <v>3</v>
      </c>
      <c r="B495">
        <v>9.23</v>
      </c>
      <c r="C495">
        <v>94.26</v>
      </c>
      <c r="D495" t="s">
        <v>10</v>
      </c>
      <c r="G495" s="47"/>
    </row>
    <row r="496" spans="1:7" x14ac:dyDescent="0.35">
      <c r="A496">
        <v>57</v>
      </c>
      <c r="B496">
        <v>5.96</v>
      </c>
      <c r="C496">
        <v>84.26</v>
      </c>
      <c r="D496" t="s">
        <v>10</v>
      </c>
      <c r="G496" s="47"/>
    </row>
    <row r="497" spans="1:7" x14ac:dyDescent="0.35">
      <c r="A497">
        <v>30</v>
      </c>
      <c r="B497">
        <v>9.24</v>
      </c>
      <c r="C497">
        <v>77.36</v>
      </c>
      <c r="D497" t="s">
        <v>10</v>
      </c>
      <c r="G497" s="47"/>
    </row>
    <row r="498" spans="1:7" x14ac:dyDescent="0.35">
      <c r="A498">
        <v>7</v>
      </c>
      <c r="B498">
        <v>5.84</v>
      </c>
      <c r="C498">
        <v>40.15</v>
      </c>
      <c r="D498" t="s">
        <v>10</v>
      </c>
      <c r="G498" s="47"/>
    </row>
    <row r="499" spans="1:7" x14ac:dyDescent="0.35">
      <c r="A499">
        <v>24</v>
      </c>
      <c r="B499">
        <v>4.66</v>
      </c>
      <c r="C499">
        <v>36.200000000000003</v>
      </c>
      <c r="D499" t="s">
        <v>10</v>
      </c>
      <c r="G499" s="47"/>
    </row>
    <row r="500" spans="1:7" x14ac:dyDescent="0.35">
      <c r="A500">
        <v>27</v>
      </c>
      <c r="B500">
        <v>8.41</v>
      </c>
      <c r="C500">
        <v>54.49</v>
      </c>
      <c r="D500" t="s">
        <v>10</v>
      </c>
      <c r="G500" s="47"/>
    </row>
    <row r="501" spans="1:7" x14ac:dyDescent="0.35">
      <c r="A501">
        <v>21</v>
      </c>
      <c r="B501">
        <v>9.15</v>
      </c>
      <c r="C501">
        <v>78.58</v>
      </c>
      <c r="D501" t="s">
        <v>10</v>
      </c>
      <c r="G501" s="47"/>
    </row>
    <row r="502" spans="1:7" x14ac:dyDescent="0.35">
      <c r="A502">
        <v>13</v>
      </c>
      <c r="B502">
        <v>5.67</v>
      </c>
      <c r="C502">
        <v>61.28</v>
      </c>
      <c r="D502" t="s">
        <v>10</v>
      </c>
      <c r="G502" s="47"/>
    </row>
    <row r="503" spans="1:7" x14ac:dyDescent="0.35">
      <c r="A503">
        <v>15</v>
      </c>
      <c r="B503">
        <v>5.59</v>
      </c>
      <c r="C503">
        <v>68.12</v>
      </c>
      <c r="D503" t="s">
        <v>10</v>
      </c>
      <c r="G503" s="47"/>
    </row>
    <row r="504" spans="1:7" x14ac:dyDescent="0.35">
      <c r="A504">
        <v>17</v>
      </c>
      <c r="B504">
        <v>9.1</v>
      </c>
      <c r="C504">
        <v>52.07</v>
      </c>
      <c r="D504" t="s">
        <v>10</v>
      </c>
      <c r="G504" s="47"/>
    </row>
    <row r="505" spans="1:7" x14ac:dyDescent="0.35">
      <c r="A505">
        <v>32</v>
      </c>
      <c r="B505">
        <v>6.24</v>
      </c>
      <c r="C505">
        <v>54.93</v>
      </c>
      <c r="D505" t="s">
        <v>10</v>
      </c>
      <c r="G505" s="47"/>
    </row>
    <row r="506" spans="1:7" x14ac:dyDescent="0.35">
      <c r="A506">
        <v>22</v>
      </c>
      <c r="B506">
        <v>8.1</v>
      </c>
      <c r="C506">
        <v>65.84</v>
      </c>
      <c r="D506" t="s">
        <v>10</v>
      </c>
      <c r="G506" s="47"/>
    </row>
    <row r="507" spans="1:7" x14ac:dyDescent="0.35">
      <c r="A507">
        <v>42</v>
      </c>
      <c r="B507">
        <v>5.61</v>
      </c>
      <c r="C507">
        <v>47.22</v>
      </c>
      <c r="D507" t="s">
        <v>10</v>
      </c>
      <c r="G507" s="47"/>
    </row>
    <row r="508" spans="1:7" x14ac:dyDescent="0.35">
      <c r="A508">
        <v>25</v>
      </c>
      <c r="B508">
        <v>5.48</v>
      </c>
      <c r="C508">
        <v>34.47</v>
      </c>
      <c r="D508" t="s">
        <v>10</v>
      </c>
      <c r="G508" s="47"/>
    </row>
    <row r="509" spans="1:7" x14ac:dyDescent="0.35">
      <c r="A509">
        <v>10</v>
      </c>
      <c r="B509">
        <v>4.26</v>
      </c>
      <c r="C509">
        <v>43.55</v>
      </c>
      <c r="D509" t="s">
        <v>10</v>
      </c>
      <c r="G509" s="47"/>
    </row>
    <row r="510" spans="1:7" x14ac:dyDescent="0.35">
      <c r="A510">
        <v>26</v>
      </c>
      <c r="B510">
        <v>9.68</v>
      </c>
      <c r="C510">
        <v>132.72999999999999</v>
      </c>
      <c r="D510" t="s">
        <v>10</v>
      </c>
      <c r="G510" s="47"/>
    </row>
    <row r="511" spans="1:7" x14ac:dyDescent="0.35">
      <c r="A511">
        <v>4</v>
      </c>
      <c r="B511">
        <v>9.86</v>
      </c>
      <c r="C511">
        <v>72.349999999999994</v>
      </c>
      <c r="D511" t="s">
        <v>10</v>
      </c>
      <c r="G511" s="47"/>
    </row>
    <row r="512" spans="1:7" x14ac:dyDescent="0.35">
      <c r="A512">
        <v>25</v>
      </c>
      <c r="B512">
        <v>4.88</v>
      </c>
      <c r="C512">
        <v>62.64</v>
      </c>
      <c r="D512" t="s">
        <v>10</v>
      </c>
      <c r="G512" s="47"/>
    </row>
    <row r="513" spans="1:7" x14ac:dyDescent="0.35">
      <c r="A513">
        <v>54</v>
      </c>
      <c r="B513">
        <v>9.6199999999999992</v>
      </c>
      <c r="C513">
        <v>67.069999999999993</v>
      </c>
      <c r="D513" t="s">
        <v>10</v>
      </c>
      <c r="G513" s="47"/>
    </row>
    <row r="514" spans="1:7" x14ac:dyDescent="0.35">
      <c r="A514">
        <v>25</v>
      </c>
      <c r="B514">
        <v>6.28</v>
      </c>
      <c r="C514">
        <v>61.5</v>
      </c>
      <c r="D514" t="s">
        <v>10</v>
      </c>
      <c r="G514" s="47"/>
    </row>
    <row r="515" spans="1:7" x14ac:dyDescent="0.35">
      <c r="A515">
        <v>21</v>
      </c>
      <c r="B515">
        <v>9.58</v>
      </c>
      <c r="C515">
        <v>57.83</v>
      </c>
      <c r="D515" t="s">
        <v>10</v>
      </c>
      <c r="G515" s="47"/>
    </row>
    <row r="516" spans="1:7" x14ac:dyDescent="0.35">
      <c r="A516">
        <v>22</v>
      </c>
      <c r="B516">
        <v>5.79</v>
      </c>
      <c r="C516">
        <v>67.23</v>
      </c>
      <c r="D516" t="s">
        <v>10</v>
      </c>
      <c r="G516" s="47"/>
    </row>
    <row r="517" spans="1:7" x14ac:dyDescent="0.35">
      <c r="A517">
        <v>25</v>
      </c>
      <c r="B517">
        <v>6.25</v>
      </c>
      <c r="C517">
        <v>59.23</v>
      </c>
      <c r="D517" t="s">
        <v>10</v>
      </c>
      <c r="G517" s="47"/>
    </row>
    <row r="518" spans="1:7" x14ac:dyDescent="0.35">
      <c r="A518">
        <v>9</v>
      </c>
      <c r="B518">
        <v>4.46</v>
      </c>
      <c r="C518">
        <v>30.81</v>
      </c>
      <c r="D518" t="s">
        <v>10</v>
      </c>
      <c r="G518" s="47"/>
    </row>
    <row r="519" spans="1:7" x14ac:dyDescent="0.35">
      <c r="A519">
        <v>24</v>
      </c>
      <c r="B519">
        <v>6.56</v>
      </c>
      <c r="C519">
        <v>76.7</v>
      </c>
      <c r="D519" t="s">
        <v>10</v>
      </c>
      <c r="G519" s="47"/>
    </row>
    <row r="520" spans="1:7" x14ac:dyDescent="0.35">
      <c r="A520">
        <v>40</v>
      </c>
      <c r="B520">
        <v>8.6999999999999993</v>
      </c>
      <c r="C520">
        <v>66.56</v>
      </c>
      <c r="D520" t="s">
        <v>10</v>
      </c>
      <c r="G520" s="47"/>
    </row>
    <row r="521" spans="1:7" x14ac:dyDescent="0.35">
      <c r="A521">
        <v>42</v>
      </c>
      <c r="B521">
        <v>8.68</v>
      </c>
      <c r="C521">
        <v>42.13</v>
      </c>
      <c r="D521" t="s">
        <v>10</v>
      </c>
      <c r="G521" s="47"/>
    </row>
    <row r="522" spans="1:7" x14ac:dyDescent="0.35">
      <c r="A522">
        <v>25</v>
      </c>
      <c r="B522">
        <v>4.78</v>
      </c>
      <c r="C522">
        <v>67.87</v>
      </c>
      <c r="D522" t="s">
        <v>10</v>
      </c>
      <c r="G522" s="47"/>
    </row>
    <row r="523" spans="1:7" x14ac:dyDescent="0.35">
      <c r="A523">
        <v>28</v>
      </c>
      <c r="B523">
        <v>4.3899999999999997</v>
      </c>
      <c r="C523">
        <v>35.26</v>
      </c>
      <c r="D523" t="s">
        <v>10</v>
      </c>
      <c r="G523" s="47"/>
    </row>
    <row r="524" spans="1:7" x14ac:dyDescent="0.35">
      <c r="A524">
        <v>7</v>
      </c>
      <c r="B524">
        <v>5.66</v>
      </c>
      <c r="C524">
        <v>56.39</v>
      </c>
      <c r="D524" t="s">
        <v>10</v>
      </c>
      <c r="G524" s="47"/>
    </row>
    <row r="525" spans="1:7" x14ac:dyDescent="0.35">
      <c r="A525">
        <v>27</v>
      </c>
      <c r="B525">
        <v>6.47</v>
      </c>
      <c r="C525">
        <v>36.21</v>
      </c>
      <c r="D525" t="s">
        <v>10</v>
      </c>
      <c r="G525" s="47"/>
    </row>
    <row r="526" spans="1:7" x14ac:dyDescent="0.35">
      <c r="A526">
        <v>32</v>
      </c>
      <c r="B526">
        <v>7.3</v>
      </c>
      <c r="C526">
        <v>101.92</v>
      </c>
      <c r="D526" t="s">
        <v>10</v>
      </c>
      <c r="G526" s="47"/>
    </row>
    <row r="527" spans="1:7" x14ac:dyDescent="0.35">
      <c r="A527">
        <v>21</v>
      </c>
      <c r="B527">
        <v>6.16</v>
      </c>
      <c r="C527">
        <v>43.75</v>
      </c>
      <c r="D527" t="s">
        <v>10</v>
      </c>
      <c r="G527" s="47"/>
    </row>
    <row r="528" spans="1:7" x14ac:dyDescent="0.35">
      <c r="A528">
        <v>44</v>
      </c>
      <c r="B528">
        <v>5.67</v>
      </c>
      <c r="C528">
        <v>77.45</v>
      </c>
      <c r="D528" t="s">
        <v>10</v>
      </c>
      <c r="G528" s="47"/>
    </row>
    <row r="529" spans="1:7" x14ac:dyDescent="0.35">
      <c r="A529">
        <v>2</v>
      </c>
      <c r="B529">
        <v>5.96</v>
      </c>
      <c r="C529">
        <v>80.31</v>
      </c>
      <c r="D529" t="s">
        <v>10</v>
      </c>
      <c r="G529" s="47"/>
    </row>
    <row r="530" spans="1:7" x14ac:dyDescent="0.35">
      <c r="A530">
        <v>20</v>
      </c>
      <c r="B530">
        <v>7.97</v>
      </c>
      <c r="C530">
        <v>104.75</v>
      </c>
      <c r="D530" t="s">
        <v>10</v>
      </c>
      <c r="G530" s="47"/>
    </row>
    <row r="531" spans="1:7" x14ac:dyDescent="0.35">
      <c r="A531">
        <v>10</v>
      </c>
      <c r="B531">
        <v>8.02</v>
      </c>
      <c r="C531">
        <v>79.25</v>
      </c>
      <c r="D531" t="s">
        <v>10</v>
      </c>
      <c r="G531" s="47"/>
    </row>
    <row r="532" spans="1:7" x14ac:dyDescent="0.35">
      <c r="A532">
        <v>14</v>
      </c>
      <c r="B532">
        <v>6.27</v>
      </c>
      <c r="C532">
        <v>78.2</v>
      </c>
      <c r="D532" t="s">
        <v>10</v>
      </c>
      <c r="G532" s="47"/>
    </row>
    <row r="533" spans="1:7" x14ac:dyDescent="0.35">
      <c r="A533">
        <v>9</v>
      </c>
      <c r="B533">
        <v>8.1199999999999992</v>
      </c>
      <c r="C533">
        <v>89.07</v>
      </c>
      <c r="D533" t="s">
        <v>10</v>
      </c>
      <c r="G533" s="47"/>
    </row>
    <row r="534" spans="1:7" x14ac:dyDescent="0.35">
      <c r="A534">
        <v>21</v>
      </c>
      <c r="B534">
        <v>6.65</v>
      </c>
      <c r="C534">
        <v>62.98</v>
      </c>
      <c r="D534" t="s">
        <v>10</v>
      </c>
      <c r="G534" s="47"/>
    </row>
    <row r="535" spans="1:7" x14ac:dyDescent="0.35">
      <c r="A535">
        <v>55</v>
      </c>
      <c r="B535">
        <v>8.69</v>
      </c>
      <c r="C535">
        <v>72.78</v>
      </c>
      <c r="D535" t="s">
        <v>10</v>
      </c>
      <c r="G535" s="47"/>
    </row>
    <row r="536" spans="1:7" x14ac:dyDescent="0.35">
      <c r="A536">
        <v>25</v>
      </c>
      <c r="B536">
        <v>8.0399999999999991</v>
      </c>
      <c r="C536">
        <v>110.48</v>
      </c>
      <c r="D536" t="s">
        <v>10</v>
      </c>
      <c r="G536" s="47"/>
    </row>
    <row r="537" spans="1:7" x14ac:dyDescent="0.35">
      <c r="A537">
        <v>2</v>
      </c>
      <c r="B537">
        <v>5.0999999999999996</v>
      </c>
      <c r="C537">
        <v>51</v>
      </c>
      <c r="D537" t="s">
        <v>10</v>
      </c>
      <c r="G537" s="47"/>
    </row>
    <row r="538" spans="1:7" x14ac:dyDescent="0.35">
      <c r="A538">
        <v>11</v>
      </c>
      <c r="B538">
        <v>8.19</v>
      </c>
      <c r="C538">
        <v>77.39</v>
      </c>
      <c r="D538" t="s">
        <v>10</v>
      </c>
      <c r="G538" s="47"/>
    </row>
    <row r="539" spans="1:7" x14ac:dyDescent="0.35">
      <c r="A539">
        <v>8</v>
      </c>
      <c r="B539">
        <v>4.87</v>
      </c>
      <c r="C539">
        <v>53.52</v>
      </c>
      <c r="D539" t="s">
        <v>10</v>
      </c>
      <c r="G539" s="47"/>
    </row>
    <row r="540" spans="1:7" x14ac:dyDescent="0.35">
      <c r="A540">
        <v>51</v>
      </c>
      <c r="B540">
        <v>6.46</v>
      </c>
      <c r="C540">
        <v>69.069999999999993</v>
      </c>
      <c r="D540" t="s">
        <v>10</v>
      </c>
      <c r="G540" s="47"/>
    </row>
    <row r="541" spans="1:7" x14ac:dyDescent="0.35">
      <c r="A541">
        <v>5</v>
      </c>
      <c r="B541">
        <v>8.68</v>
      </c>
      <c r="C541">
        <v>87.01</v>
      </c>
      <c r="D541" t="s">
        <v>10</v>
      </c>
      <c r="G541" s="47"/>
    </row>
    <row r="542" spans="1:7" x14ac:dyDescent="0.35">
      <c r="A542">
        <v>24</v>
      </c>
      <c r="B542">
        <v>7.72</v>
      </c>
      <c r="C542">
        <v>31.75</v>
      </c>
      <c r="D542" t="s">
        <v>10</v>
      </c>
      <c r="G542" s="47"/>
    </row>
    <row r="543" spans="1:7" x14ac:dyDescent="0.35">
      <c r="A543">
        <v>6</v>
      </c>
      <c r="B543">
        <v>9.33</v>
      </c>
      <c r="C543">
        <v>70.38</v>
      </c>
      <c r="D543" t="s">
        <v>10</v>
      </c>
      <c r="G543" s="47"/>
    </row>
    <row r="544" spans="1:7" x14ac:dyDescent="0.35">
      <c r="A544">
        <v>8</v>
      </c>
      <c r="B544">
        <v>9.25</v>
      </c>
      <c r="C544">
        <v>55.73</v>
      </c>
      <c r="D544" t="s">
        <v>10</v>
      </c>
      <c r="G544" s="47"/>
    </row>
    <row r="545" spans="1:7" x14ac:dyDescent="0.35">
      <c r="A545">
        <v>17</v>
      </c>
      <c r="B545">
        <v>6.91</v>
      </c>
      <c r="C545">
        <v>52.93</v>
      </c>
      <c r="D545" t="s">
        <v>10</v>
      </c>
      <c r="G545" s="47"/>
    </row>
    <row r="546" spans="1:7" x14ac:dyDescent="0.35">
      <c r="A546">
        <v>24</v>
      </c>
      <c r="B546">
        <v>8.6199999999999992</v>
      </c>
      <c r="C546">
        <v>59.47</v>
      </c>
      <c r="D546" t="s">
        <v>10</v>
      </c>
      <c r="G546" s="47"/>
    </row>
    <row r="547" spans="1:7" x14ac:dyDescent="0.35">
      <c r="A547">
        <v>29</v>
      </c>
      <c r="B547">
        <v>5.88</v>
      </c>
      <c r="C547">
        <v>51.43</v>
      </c>
      <c r="D547" t="s">
        <v>10</v>
      </c>
      <c r="G547" s="47"/>
    </row>
    <row r="548" spans="1:7" x14ac:dyDescent="0.35">
      <c r="A548">
        <v>31</v>
      </c>
      <c r="B548">
        <v>7.3</v>
      </c>
      <c r="C548">
        <v>63.35</v>
      </c>
      <c r="D548" t="s">
        <v>10</v>
      </c>
      <c r="G548" s="47"/>
    </row>
    <row r="549" spans="1:7" x14ac:dyDescent="0.35">
      <c r="A549">
        <v>10</v>
      </c>
      <c r="B549">
        <v>5.93</v>
      </c>
      <c r="C549">
        <v>44.95</v>
      </c>
      <c r="D549" t="s">
        <v>10</v>
      </c>
      <c r="G549" s="47"/>
    </row>
    <row r="550" spans="1:7" x14ac:dyDescent="0.35">
      <c r="A550">
        <v>41</v>
      </c>
      <c r="B550">
        <v>8.19</v>
      </c>
      <c r="C550">
        <v>70.88</v>
      </c>
      <c r="D550" t="s">
        <v>10</v>
      </c>
      <c r="G550" s="47"/>
    </row>
    <row r="551" spans="1:7" x14ac:dyDescent="0.35">
      <c r="A551">
        <v>19</v>
      </c>
      <c r="B551">
        <v>8.7799999999999994</v>
      </c>
      <c r="C551">
        <v>61.87</v>
      </c>
      <c r="D551" t="s">
        <v>10</v>
      </c>
      <c r="G551" s="47"/>
    </row>
    <row r="552" spans="1:7" x14ac:dyDescent="0.35">
      <c r="A552">
        <v>5</v>
      </c>
      <c r="B552">
        <v>7.29</v>
      </c>
      <c r="C552">
        <v>36.71</v>
      </c>
      <c r="D552" t="s">
        <v>10</v>
      </c>
      <c r="G552" s="47"/>
    </row>
    <row r="553" spans="1:7" x14ac:dyDescent="0.35">
      <c r="A553">
        <v>49</v>
      </c>
      <c r="B553">
        <v>7.37</v>
      </c>
      <c r="C553">
        <v>47.75</v>
      </c>
      <c r="D553" t="s">
        <v>10</v>
      </c>
      <c r="G553" s="47"/>
    </row>
    <row r="554" spans="1:7" x14ac:dyDescent="0.35">
      <c r="A554">
        <v>31</v>
      </c>
      <c r="B554">
        <v>9</v>
      </c>
      <c r="C554">
        <v>60.12</v>
      </c>
      <c r="D554" t="s">
        <v>10</v>
      </c>
      <c r="G554" s="47"/>
    </row>
    <row r="555" spans="1:7" x14ac:dyDescent="0.35">
      <c r="A555">
        <v>21</v>
      </c>
      <c r="B555">
        <v>9.5299999999999994</v>
      </c>
      <c r="C555">
        <v>57.6</v>
      </c>
      <c r="D555" t="s">
        <v>10</v>
      </c>
      <c r="G555" s="47"/>
    </row>
    <row r="556" spans="1:7" x14ac:dyDescent="0.35">
      <c r="A556">
        <v>10</v>
      </c>
      <c r="B556">
        <v>9.85</v>
      </c>
      <c r="C556">
        <v>42.98</v>
      </c>
      <c r="D556" t="s">
        <v>10</v>
      </c>
      <c r="G556" s="47"/>
    </row>
    <row r="557" spans="1:7" x14ac:dyDescent="0.35">
      <c r="A557">
        <v>16</v>
      </c>
      <c r="B557">
        <v>8.74</v>
      </c>
      <c r="C557">
        <v>83.38</v>
      </c>
      <c r="D557" t="s">
        <v>10</v>
      </c>
      <c r="G557" s="47"/>
    </row>
    <row r="558" spans="1:7" x14ac:dyDescent="0.35">
      <c r="A558">
        <v>5</v>
      </c>
      <c r="B558">
        <v>5.73</v>
      </c>
      <c r="C558">
        <v>71.98</v>
      </c>
      <c r="D558" t="s">
        <v>10</v>
      </c>
      <c r="G558" s="47"/>
    </row>
    <row r="559" spans="1:7" x14ac:dyDescent="0.35">
      <c r="A559">
        <v>29</v>
      </c>
      <c r="B559">
        <v>2.67</v>
      </c>
      <c r="C559">
        <v>25.28</v>
      </c>
      <c r="D559" t="s">
        <v>10</v>
      </c>
      <c r="G559" s="47"/>
    </row>
    <row r="560" spans="1:7" x14ac:dyDescent="0.35">
      <c r="A560">
        <v>12</v>
      </c>
      <c r="B560">
        <v>2.4</v>
      </c>
      <c r="C560">
        <v>31.1</v>
      </c>
      <c r="D560" t="s">
        <v>10</v>
      </c>
      <c r="G560" s="47"/>
    </row>
    <row r="561" spans="1:7" x14ac:dyDescent="0.35">
      <c r="A561">
        <v>34</v>
      </c>
      <c r="B561">
        <v>2</v>
      </c>
      <c r="C561">
        <v>19.010000000000002</v>
      </c>
      <c r="D561" t="s">
        <v>10</v>
      </c>
      <c r="G561" s="47"/>
    </row>
    <row r="562" spans="1:7" x14ac:dyDescent="0.35">
      <c r="A562">
        <v>49</v>
      </c>
      <c r="B562">
        <v>4</v>
      </c>
      <c r="C562">
        <v>21.99</v>
      </c>
      <c r="D562" t="s">
        <v>10</v>
      </c>
      <c r="G562" s="47"/>
    </row>
    <row r="563" spans="1:7" x14ac:dyDescent="0.35">
      <c r="A563">
        <v>43</v>
      </c>
      <c r="B563">
        <v>4</v>
      </c>
      <c r="C563">
        <v>18.28</v>
      </c>
      <c r="D563" t="s">
        <v>10</v>
      </c>
      <c r="G563" s="47"/>
    </row>
    <row r="564" spans="1:7" x14ac:dyDescent="0.35">
      <c r="A564">
        <v>6</v>
      </c>
      <c r="B564">
        <v>2.5</v>
      </c>
      <c r="C564">
        <v>38.9</v>
      </c>
      <c r="D564" t="s">
        <v>10</v>
      </c>
      <c r="G564" s="47"/>
    </row>
    <row r="565" spans="1:7" x14ac:dyDescent="0.35">
      <c r="A565">
        <v>9</v>
      </c>
      <c r="B565">
        <v>3.5</v>
      </c>
      <c r="C565">
        <v>51.98</v>
      </c>
      <c r="D565" t="s">
        <v>10</v>
      </c>
      <c r="G565" s="47"/>
    </row>
    <row r="566" spans="1:7" x14ac:dyDescent="0.35">
      <c r="A566">
        <v>37</v>
      </c>
      <c r="B566">
        <v>2.2999999999999998</v>
      </c>
      <c r="C566">
        <v>39.54</v>
      </c>
      <c r="D566" t="s">
        <v>10</v>
      </c>
      <c r="G566" s="47"/>
    </row>
    <row r="567" spans="1:7" x14ac:dyDescent="0.35">
      <c r="A567">
        <v>20</v>
      </c>
      <c r="B567">
        <v>3</v>
      </c>
      <c r="C567">
        <v>30.68</v>
      </c>
      <c r="D567" t="s">
        <v>10</v>
      </c>
      <c r="G567" s="47"/>
    </row>
    <row r="568" spans="1:7" x14ac:dyDescent="0.35">
      <c r="A568">
        <v>26</v>
      </c>
      <c r="B568">
        <v>2.6</v>
      </c>
      <c r="C568">
        <v>43.26</v>
      </c>
      <c r="D568" t="s">
        <v>10</v>
      </c>
      <c r="G568" s="47"/>
    </row>
    <row r="569" spans="1:7" x14ac:dyDescent="0.35">
      <c r="A569">
        <v>13</v>
      </c>
      <c r="B569">
        <v>2.2999999999999998</v>
      </c>
      <c r="C569">
        <v>14</v>
      </c>
      <c r="D569" t="s">
        <v>10</v>
      </c>
      <c r="G569" s="47"/>
    </row>
    <row r="570" spans="1:7" x14ac:dyDescent="0.35">
      <c r="A570">
        <v>30</v>
      </c>
      <c r="B570">
        <v>2</v>
      </c>
      <c r="C570">
        <v>32.700000000000003</v>
      </c>
      <c r="D570" t="s">
        <v>10</v>
      </c>
      <c r="G570" s="47"/>
    </row>
    <row r="571" spans="1:7" x14ac:dyDescent="0.35">
      <c r="A571">
        <v>2</v>
      </c>
      <c r="B571">
        <v>3.3</v>
      </c>
      <c r="C571">
        <v>33.03</v>
      </c>
      <c r="D571" t="s">
        <v>10</v>
      </c>
      <c r="G571" s="47"/>
    </row>
    <row r="572" spans="1:7" x14ac:dyDescent="0.35">
      <c r="A572">
        <v>1</v>
      </c>
      <c r="B572">
        <v>1.8</v>
      </c>
      <c r="C572">
        <v>31.37</v>
      </c>
      <c r="D572" t="s">
        <v>10</v>
      </c>
      <c r="G572" s="47"/>
    </row>
    <row r="573" spans="1:7" x14ac:dyDescent="0.35">
      <c r="A573">
        <v>14</v>
      </c>
      <c r="B573">
        <v>1.5</v>
      </c>
      <c r="C573">
        <v>34.97</v>
      </c>
      <c r="D573" t="s">
        <v>10</v>
      </c>
      <c r="G573" s="47"/>
    </row>
    <row r="574" spans="1:7" x14ac:dyDescent="0.35">
      <c r="A574">
        <v>16</v>
      </c>
      <c r="B574">
        <v>2.8</v>
      </c>
      <c r="C574">
        <v>63</v>
      </c>
      <c r="D574" t="s">
        <v>10</v>
      </c>
      <c r="G574" s="47"/>
    </row>
    <row r="575" spans="1:7" x14ac:dyDescent="0.35">
      <c r="A575">
        <v>9</v>
      </c>
      <c r="B575">
        <v>2.2999999999999998</v>
      </c>
      <c r="C575">
        <v>51.99</v>
      </c>
      <c r="D575" t="s">
        <v>10</v>
      </c>
      <c r="G575" s="47"/>
    </row>
    <row r="576" spans="1:7" x14ac:dyDescent="0.35">
      <c r="A576">
        <v>6</v>
      </c>
      <c r="B576">
        <v>1.8</v>
      </c>
      <c r="C576">
        <v>67.260000000000005</v>
      </c>
      <c r="D576" t="s">
        <v>10</v>
      </c>
      <c r="G576" s="47"/>
    </row>
    <row r="577" spans="1:7" x14ac:dyDescent="0.35">
      <c r="A577">
        <v>38</v>
      </c>
      <c r="B577">
        <v>3.6</v>
      </c>
      <c r="C577">
        <v>48.57</v>
      </c>
      <c r="D577" t="s">
        <v>10</v>
      </c>
      <c r="G577" s="47"/>
    </row>
    <row r="578" spans="1:7" x14ac:dyDescent="0.35">
      <c r="A578">
        <v>25</v>
      </c>
      <c r="B578">
        <v>2.4</v>
      </c>
      <c r="C578">
        <v>48.14</v>
      </c>
      <c r="D578" t="s">
        <v>10</v>
      </c>
      <c r="G578" s="47"/>
    </row>
    <row r="579" spans="1:7" x14ac:dyDescent="0.35">
      <c r="A579">
        <v>12</v>
      </c>
      <c r="B579">
        <v>3.7</v>
      </c>
      <c r="C579">
        <v>34.53</v>
      </c>
      <c r="D579" t="s">
        <v>10</v>
      </c>
      <c r="G579" s="47"/>
    </row>
    <row r="580" spans="1:7" x14ac:dyDescent="0.35">
      <c r="A580">
        <v>7</v>
      </c>
      <c r="B580">
        <v>3.9</v>
      </c>
      <c r="C580">
        <v>11.95</v>
      </c>
      <c r="D580" t="s">
        <v>10</v>
      </c>
      <c r="G580" s="47"/>
    </row>
    <row r="581" spans="1:7" x14ac:dyDescent="0.35">
      <c r="A581">
        <v>57</v>
      </c>
      <c r="B581">
        <v>2.7</v>
      </c>
      <c r="C581">
        <v>16.579999999999998</v>
      </c>
      <c r="D581" t="s">
        <v>10</v>
      </c>
      <c r="G581" s="47"/>
    </row>
    <row r="582" spans="1:7" x14ac:dyDescent="0.35">
      <c r="A582">
        <v>19</v>
      </c>
      <c r="B582">
        <v>3.8</v>
      </c>
      <c r="C582">
        <v>50.34</v>
      </c>
      <c r="D582" t="s">
        <v>10</v>
      </c>
      <c r="G582" s="47"/>
    </row>
    <row r="583" spans="1:7" x14ac:dyDescent="0.35">
      <c r="A583">
        <v>25</v>
      </c>
      <c r="B583">
        <v>3.8</v>
      </c>
      <c r="C583">
        <v>44.87</v>
      </c>
      <c r="D583" t="s">
        <v>10</v>
      </c>
      <c r="G583" s="47"/>
    </row>
    <row r="584" spans="1:7" x14ac:dyDescent="0.35">
      <c r="A584">
        <v>26</v>
      </c>
      <c r="B584">
        <v>3.2</v>
      </c>
      <c r="C584">
        <v>6.97</v>
      </c>
      <c r="D584" t="s">
        <v>10</v>
      </c>
      <c r="G584" s="47"/>
    </row>
    <row r="585" spans="1:7" x14ac:dyDescent="0.35">
      <c r="A585">
        <v>47</v>
      </c>
      <c r="B585">
        <v>3.6</v>
      </c>
      <c r="C585">
        <v>30.33</v>
      </c>
      <c r="D585" t="s">
        <v>10</v>
      </c>
      <c r="G585" s="47"/>
    </row>
    <row r="586" spans="1:7" x14ac:dyDescent="0.35">
      <c r="A586">
        <v>18</v>
      </c>
      <c r="B586">
        <v>2.6</v>
      </c>
      <c r="C586">
        <v>42.51</v>
      </c>
      <c r="D586" t="s">
        <v>10</v>
      </c>
      <c r="G586" s="47"/>
    </row>
    <row r="587" spans="1:7" x14ac:dyDescent="0.35">
      <c r="A587">
        <v>17</v>
      </c>
      <c r="B587">
        <v>2</v>
      </c>
      <c r="C587">
        <v>29.17</v>
      </c>
      <c r="D587" t="s">
        <v>10</v>
      </c>
      <c r="G587" s="47"/>
    </row>
    <row r="588" spans="1:7" x14ac:dyDescent="0.35">
      <c r="A588">
        <v>19</v>
      </c>
      <c r="B588">
        <v>2.9</v>
      </c>
      <c r="C588">
        <v>31.65</v>
      </c>
      <c r="D588" t="s">
        <v>10</v>
      </c>
      <c r="G588" s="47"/>
    </row>
    <row r="589" spans="1:7" x14ac:dyDescent="0.35">
      <c r="A589">
        <v>39</v>
      </c>
      <c r="B589">
        <v>3</v>
      </c>
      <c r="C589">
        <v>58.89</v>
      </c>
      <c r="D589" t="s">
        <v>10</v>
      </c>
      <c r="G589" s="47"/>
    </row>
    <row r="590" spans="1:7" x14ac:dyDescent="0.35">
      <c r="A590">
        <v>11</v>
      </c>
      <c r="B590">
        <v>3.5</v>
      </c>
      <c r="C590">
        <v>22.47</v>
      </c>
      <c r="D590" t="s">
        <v>10</v>
      </c>
      <c r="G590" s="47"/>
    </row>
    <row r="591" spans="1:7" x14ac:dyDescent="0.35">
      <c r="A591">
        <v>15</v>
      </c>
      <c r="B591">
        <v>2.6</v>
      </c>
      <c r="C591">
        <v>9.8000000000000007</v>
      </c>
      <c r="D591" t="s">
        <v>10</v>
      </c>
      <c r="G591" s="47"/>
    </row>
    <row r="592" spans="1:7" x14ac:dyDescent="0.35">
      <c r="A592">
        <v>21</v>
      </c>
      <c r="B592">
        <v>1.5</v>
      </c>
      <c r="C592">
        <v>23.33</v>
      </c>
      <c r="D592" t="s">
        <v>10</v>
      </c>
      <c r="G592" s="47"/>
    </row>
    <row r="593" spans="1:7" x14ac:dyDescent="0.35">
      <c r="A593">
        <v>19</v>
      </c>
      <c r="B593">
        <v>3.8</v>
      </c>
      <c r="C593">
        <v>23.5</v>
      </c>
      <c r="D593" t="s">
        <v>10</v>
      </c>
      <c r="G593" s="47"/>
    </row>
    <row r="594" spans="1:7" x14ac:dyDescent="0.35">
      <c r="A594">
        <v>25</v>
      </c>
      <c r="B594">
        <v>4</v>
      </c>
      <c r="C594">
        <v>18.52</v>
      </c>
      <c r="D594" t="s">
        <v>10</v>
      </c>
      <c r="G594" s="47"/>
    </row>
    <row r="595" spans="1:7" x14ac:dyDescent="0.35">
      <c r="A595">
        <v>42</v>
      </c>
      <c r="B595">
        <v>3.3</v>
      </c>
      <c r="C595">
        <v>41.24</v>
      </c>
      <c r="D595" t="s">
        <v>10</v>
      </c>
      <c r="G595" s="47"/>
    </row>
    <row r="596" spans="1:7" x14ac:dyDescent="0.35">
      <c r="A596">
        <v>37</v>
      </c>
      <c r="B596">
        <v>3.3</v>
      </c>
      <c r="C596">
        <v>43.28</v>
      </c>
      <c r="D596" t="s">
        <v>10</v>
      </c>
      <c r="G596" s="47"/>
    </row>
    <row r="597" spans="1:7" x14ac:dyDescent="0.35">
      <c r="A597">
        <v>36</v>
      </c>
      <c r="B597">
        <v>1.9</v>
      </c>
      <c r="C597">
        <v>28.32</v>
      </c>
      <c r="D597" t="s">
        <v>10</v>
      </c>
      <c r="G597" s="47"/>
    </row>
    <row r="598" spans="1:7" x14ac:dyDescent="0.35">
      <c r="A598">
        <v>29</v>
      </c>
      <c r="B598">
        <v>2.9</v>
      </c>
      <c r="C598">
        <v>26.05</v>
      </c>
      <c r="D598" t="s">
        <v>10</v>
      </c>
      <c r="G598" s="47"/>
    </row>
    <row r="599" spans="1:7" x14ac:dyDescent="0.35">
      <c r="A599">
        <v>12</v>
      </c>
      <c r="B599">
        <v>3.9</v>
      </c>
      <c r="C599">
        <v>50.93</v>
      </c>
      <c r="D599" t="s">
        <v>10</v>
      </c>
      <c r="G599" s="47"/>
    </row>
    <row r="600" spans="1:7" x14ac:dyDescent="0.35">
      <c r="A600">
        <v>9</v>
      </c>
      <c r="B600">
        <v>2.1</v>
      </c>
      <c r="C600">
        <v>22.59</v>
      </c>
      <c r="D600" t="s">
        <v>10</v>
      </c>
      <c r="G600" s="47"/>
    </row>
    <row r="601" spans="1:7" x14ac:dyDescent="0.35">
      <c r="A601">
        <v>44</v>
      </c>
      <c r="B601">
        <v>3.3</v>
      </c>
      <c r="C601">
        <v>35.11</v>
      </c>
      <c r="D601" t="s">
        <v>10</v>
      </c>
      <c r="G601" s="47"/>
    </row>
    <row r="602" spans="1:7" x14ac:dyDescent="0.35">
      <c r="A602">
        <v>23</v>
      </c>
      <c r="B602">
        <v>2.8</v>
      </c>
      <c r="C602">
        <v>11.14</v>
      </c>
      <c r="D602" t="s">
        <v>10</v>
      </c>
      <c r="G602" s="47"/>
    </row>
    <row r="603" spans="1:7" x14ac:dyDescent="0.35">
      <c r="A603">
        <v>39</v>
      </c>
      <c r="B603">
        <v>2.1</v>
      </c>
      <c r="C603">
        <v>43.17</v>
      </c>
      <c r="D603" t="s">
        <v>10</v>
      </c>
      <c r="G603" s="47"/>
    </row>
    <row r="604" spans="1:7" x14ac:dyDescent="0.35">
      <c r="A604">
        <v>30</v>
      </c>
      <c r="B604">
        <v>3.7</v>
      </c>
      <c r="C604">
        <v>12.65</v>
      </c>
      <c r="D604" t="s">
        <v>10</v>
      </c>
      <c r="G604" s="47"/>
    </row>
    <row r="605" spans="1:7" x14ac:dyDescent="0.35">
      <c r="A605">
        <v>14</v>
      </c>
      <c r="B605">
        <v>3.9</v>
      </c>
      <c r="C605">
        <v>27.84</v>
      </c>
      <c r="D605" t="s">
        <v>10</v>
      </c>
      <c r="G605" s="47"/>
    </row>
    <row r="606" spans="1:7" x14ac:dyDescent="0.35">
      <c r="A606">
        <v>27</v>
      </c>
      <c r="B606">
        <v>1.6</v>
      </c>
      <c r="C606">
        <v>38.61</v>
      </c>
      <c r="D606" t="s">
        <v>10</v>
      </c>
      <c r="G606" s="47"/>
    </row>
    <row r="607" spans="1:7" x14ac:dyDescent="0.35">
      <c r="A607">
        <v>50</v>
      </c>
      <c r="B607">
        <v>1.7</v>
      </c>
      <c r="C607">
        <v>17.32</v>
      </c>
      <c r="D607" t="s">
        <v>10</v>
      </c>
      <c r="G607" s="47"/>
    </row>
    <row r="608" spans="1:7" x14ac:dyDescent="0.35">
      <c r="A608">
        <v>5</v>
      </c>
      <c r="B608">
        <v>1.5</v>
      </c>
      <c r="C608">
        <v>22.81</v>
      </c>
      <c r="D608" t="s">
        <v>10</v>
      </c>
      <c r="G608" s="47"/>
    </row>
    <row r="609" spans="1:7" x14ac:dyDescent="0.35">
      <c r="A609">
        <v>36</v>
      </c>
      <c r="B609">
        <v>11.3</v>
      </c>
      <c r="C609">
        <v>87.75</v>
      </c>
      <c r="D609" t="s">
        <v>10</v>
      </c>
      <c r="G609" s="47"/>
    </row>
    <row r="610" spans="1:7" x14ac:dyDescent="0.35">
      <c r="A610">
        <v>3</v>
      </c>
      <c r="B610">
        <v>12</v>
      </c>
      <c r="C610">
        <v>95.73</v>
      </c>
      <c r="D610" t="s">
        <v>10</v>
      </c>
      <c r="G610" s="47"/>
    </row>
    <row r="611" spans="1:7" x14ac:dyDescent="0.35">
      <c r="A611">
        <v>25</v>
      </c>
      <c r="B611">
        <v>12.5</v>
      </c>
      <c r="C611">
        <v>110.81</v>
      </c>
      <c r="D611" t="s">
        <v>10</v>
      </c>
      <c r="G611" s="47"/>
    </row>
    <row r="612" spans="1:7" x14ac:dyDescent="0.35">
      <c r="A612">
        <v>15</v>
      </c>
      <c r="B612">
        <v>12.6</v>
      </c>
      <c r="C612">
        <v>120.86</v>
      </c>
      <c r="D612" t="s">
        <v>10</v>
      </c>
      <c r="G612" s="47"/>
    </row>
    <row r="613" spans="1:7" x14ac:dyDescent="0.35">
      <c r="A613">
        <v>13</v>
      </c>
      <c r="B613">
        <v>10.6</v>
      </c>
      <c r="C613">
        <v>51.82</v>
      </c>
      <c r="D613" t="s">
        <v>10</v>
      </c>
      <c r="G613" s="47"/>
    </row>
    <row r="614" spans="1:7" x14ac:dyDescent="0.35">
      <c r="A614">
        <v>22</v>
      </c>
      <c r="B614">
        <v>12.7</v>
      </c>
      <c r="C614">
        <v>88.57</v>
      </c>
      <c r="D614" t="s">
        <v>10</v>
      </c>
      <c r="G614" s="47"/>
    </row>
    <row r="615" spans="1:7" x14ac:dyDescent="0.35">
      <c r="A615">
        <v>22</v>
      </c>
      <c r="B615">
        <v>10.7</v>
      </c>
      <c r="C615">
        <v>82.02</v>
      </c>
      <c r="D615" t="s">
        <v>10</v>
      </c>
      <c r="G615" s="47"/>
    </row>
    <row r="616" spans="1:7" x14ac:dyDescent="0.35">
      <c r="A616">
        <v>39</v>
      </c>
      <c r="B616">
        <v>12.5</v>
      </c>
      <c r="C616">
        <v>105.61</v>
      </c>
      <c r="D616" t="s">
        <v>10</v>
      </c>
      <c r="G616" s="47"/>
    </row>
    <row r="617" spans="1:7" x14ac:dyDescent="0.35">
      <c r="A617">
        <v>23</v>
      </c>
      <c r="B617">
        <v>12.1</v>
      </c>
      <c r="C617">
        <v>83.86</v>
      </c>
      <c r="D617" t="s">
        <v>10</v>
      </c>
      <c r="G617" s="47"/>
    </row>
    <row r="618" spans="1:7" x14ac:dyDescent="0.35">
      <c r="A618">
        <v>46</v>
      </c>
      <c r="B618">
        <v>12.2</v>
      </c>
      <c r="C618">
        <v>90.89</v>
      </c>
      <c r="D618" t="s">
        <v>10</v>
      </c>
      <c r="G618" s="47"/>
    </row>
    <row r="619" spans="1:7" x14ac:dyDescent="0.35">
      <c r="A619">
        <v>19</v>
      </c>
      <c r="B619">
        <v>12.7</v>
      </c>
      <c r="C619">
        <v>89.68</v>
      </c>
      <c r="D619" t="s">
        <v>10</v>
      </c>
      <c r="G619" s="47"/>
    </row>
    <row r="620" spans="1:7" x14ac:dyDescent="0.35">
      <c r="A620">
        <v>4</v>
      </c>
      <c r="B620">
        <v>10.4</v>
      </c>
      <c r="C620">
        <v>103.09</v>
      </c>
      <c r="D620" t="s">
        <v>10</v>
      </c>
      <c r="G620" s="47"/>
    </row>
    <row r="621" spans="1:7" x14ac:dyDescent="0.35">
      <c r="A621">
        <v>26</v>
      </c>
      <c r="B621">
        <v>11.8</v>
      </c>
      <c r="C621">
        <v>105.6</v>
      </c>
      <c r="D621" t="s">
        <v>10</v>
      </c>
      <c r="G621" s="47"/>
    </row>
    <row r="622" spans="1:7" x14ac:dyDescent="0.35">
      <c r="A622">
        <v>22</v>
      </c>
      <c r="B622">
        <v>11.3</v>
      </c>
      <c r="C622">
        <v>99.6</v>
      </c>
      <c r="D622" t="s">
        <v>10</v>
      </c>
      <c r="G622" s="47"/>
    </row>
    <row r="623" spans="1:7" x14ac:dyDescent="0.35">
      <c r="A623">
        <v>20</v>
      </c>
      <c r="B623">
        <v>11.9</v>
      </c>
      <c r="C623">
        <v>95.17</v>
      </c>
      <c r="D623" t="s">
        <v>10</v>
      </c>
      <c r="G623" s="47"/>
    </row>
    <row r="624" spans="1:7" x14ac:dyDescent="0.35">
      <c r="A624">
        <v>29</v>
      </c>
      <c r="B624">
        <v>12.2</v>
      </c>
      <c r="C624">
        <v>57.01</v>
      </c>
      <c r="D624" t="s">
        <v>10</v>
      </c>
      <c r="G624" s="47"/>
    </row>
    <row r="625" spans="1:7" x14ac:dyDescent="0.35">
      <c r="A625">
        <v>45</v>
      </c>
      <c r="B625">
        <v>11.8</v>
      </c>
      <c r="C625">
        <v>78.2</v>
      </c>
      <c r="D625" t="s">
        <v>10</v>
      </c>
      <c r="G625" s="47"/>
    </row>
    <row r="626" spans="1:7" x14ac:dyDescent="0.35">
      <c r="A626">
        <v>28</v>
      </c>
      <c r="B626">
        <v>12.3</v>
      </c>
      <c r="C626">
        <v>103.88</v>
      </c>
      <c r="D626" t="s">
        <v>10</v>
      </c>
      <c r="G626" s="47"/>
    </row>
    <row r="627" spans="1:7" x14ac:dyDescent="0.35">
      <c r="A627">
        <v>25</v>
      </c>
      <c r="B627">
        <v>12</v>
      </c>
      <c r="C627">
        <v>83.21</v>
      </c>
      <c r="D627" t="s">
        <v>10</v>
      </c>
      <c r="G627" s="47"/>
    </row>
    <row r="628" spans="1:7" x14ac:dyDescent="0.35">
      <c r="A628">
        <v>33</v>
      </c>
      <c r="B628">
        <v>11.9</v>
      </c>
      <c r="C628">
        <v>114.96</v>
      </c>
      <c r="D628" t="s">
        <v>10</v>
      </c>
      <c r="G628" s="47"/>
    </row>
    <row r="629" spans="1:7" x14ac:dyDescent="0.35">
      <c r="A629">
        <v>16</v>
      </c>
      <c r="B629">
        <v>11.9</v>
      </c>
      <c r="C629">
        <v>79.23</v>
      </c>
      <c r="D629" t="s">
        <v>10</v>
      </c>
      <c r="G629" s="47"/>
    </row>
    <row r="630" spans="1:7" x14ac:dyDescent="0.35">
      <c r="A630">
        <v>17</v>
      </c>
      <c r="B630">
        <v>10.199999999999999</v>
      </c>
      <c r="C630">
        <v>45.79</v>
      </c>
      <c r="D630" t="s">
        <v>10</v>
      </c>
      <c r="G630" s="47"/>
    </row>
    <row r="631" spans="1:7" x14ac:dyDescent="0.35">
      <c r="A631">
        <v>27</v>
      </c>
      <c r="B631">
        <v>11.4</v>
      </c>
      <c r="C631">
        <v>56.37</v>
      </c>
      <c r="D631" t="s">
        <v>10</v>
      </c>
      <c r="G631" s="47"/>
    </row>
    <row r="632" spans="1:7" x14ac:dyDescent="0.35">
      <c r="A632">
        <v>36</v>
      </c>
      <c r="B632">
        <v>12.8</v>
      </c>
      <c r="C632">
        <v>91.79</v>
      </c>
      <c r="D632" t="s">
        <v>10</v>
      </c>
      <c r="G632" s="47"/>
    </row>
    <row r="633" spans="1:7" x14ac:dyDescent="0.35">
      <c r="A633">
        <v>21</v>
      </c>
      <c r="B633">
        <v>10.6</v>
      </c>
      <c r="C633">
        <v>85.37</v>
      </c>
      <c r="D633" t="s">
        <v>10</v>
      </c>
      <c r="G633" s="47"/>
    </row>
    <row r="634" spans="1:7" x14ac:dyDescent="0.35">
      <c r="A634">
        <v>22</v>
      </c>
      <c r="B634">
        <v>12.4</v>
      </c>
      <c r="C634">
        <v>96.74</v>
      </c>
      <c r="D634" t="s">
        <v>10</v>
      </c>
      <c r="G634" s="47"/>
    </row>
    <row r="635" spans="1:7" x14ac:dyDescent="0.35">
      <c r="A635">
        <v>17</v>
      </c>
      <c r="B635">
        <v>10</v>
      </c>
      <c r="C635">
        <v>88.16</v>
      </c>
      <c r="D635" t="s">
        <v>10</v>
      </c>
      <c r="G635" s="47"/>
    </row>
    <row r="636" spans="1:7" x14ac:dyDescent="0.35">
      <c r="A636">
        <v>35</v>
      </c>
      <c r="B636">
        <v>12.4</v>
      </c>
      <c r="C636">
        <v>109.42</v>
      </c>
      <c r="D636" t="s">
        <v>10</v>
      </c>
      <c r="G636" s="47"/>
    </row>
    <row r="637" spans="1:7" x14ac:dyDescent="0.35">
      <c r="A637">
        <v>23</v>
      </c>
      <c r="B637">
        <v>11.8</v>
      </c>
      <c r="C637">
        <v>74.97</v>
      </c>
      <c r="D637" t="s">
        <v>10</v>
      </c>
      <c r="G637" s="47"/>
    </row>
    <row r="638" spans="1:7" x14ac:dyDescent="0.35">
      <c r="A638">
        <v>18</v>
      </c>
      <c r="B638">
        <v>11.1</v>
      </c>
      <c r="C638">
        <v>100.82</v>
      </c>
      <c r="D638" t="s">
        <v>10</v>
      </c>
      <c r="G638" s="47"/>
    </row>
    <row r="639" spans="1:7" x14ac:dyDescent="0.35">
      <c r="A639">
        <v>33</v>
      </c>
      <c r="B639">
        <v>11</v>
      </c>
      <c r="C639">
        <v>63.32</v>
      </c>
      <c r="D639" t="s">
        <v>10</v>
      </c>
      <c r="G639" s="47"/>
    </row>
    <row r="640" spans="1:7" x14ac:dyDescent="0.35">
      <c r="A640">
        <v>27</v>
      </c>
      <c r="B640">
        <v>11.3</v>
      </c>
      <c r="C640">
        <v>92.43</v>
      </c>
      <c r="D640" t="s">
        <v>10</v>
      </c>
      <c r="G640" s="47"/>
    </row>
    <row r="641" spans="1:7" x14ac:dyDescent="0.35">
      <c r="A641">
        <v>30</v>
      </c>
      <c r="B641">
        <v>12.1</v>
      </c>
      <c r="C641">
        <v>92.08</v>
      </c>
      <c r="D641" t="s">
        <v>10</v>
      </c>
      <c r="G641" s="47"/>
    </row>
    <row r="642" spans="1:7" x14ac:dyDescent="0.35">
      <c r="A642">
        <v>41</v>
      </c>
      <c r="B642">
        <v>11.7</v>
      </c>
      <c r="C642">
        <v>93.63</v>
      </c>
      <c r="D642" t="s">
        <v>10</v>
      </c>
      <c r="G642" s="47"/>
    </row>
    <row r="643" spans="1:7" x14ac:dyDescent="0.35">
      <c r="A643">
        <v>26</v>
      </c>
      <c r="B643">
        <v>10</v>
      </c>
      <c r="C643">
        <v>98.34</v>
      </c>
      <c r="D643" t="s">
        <v>10</v>
      </c>
      <c r="G643" s="47"/>
    </row>
    <row r="644" spans="1:7" x14ac:dyDescent="0.35">
      <c r="A644">
        <v>17</v>
      </c>
      <c r="B644">
        <v>10.1</v>
      </c>
      <c r="C644">
        <v>87.63</v>
      </c>
      <c r="D644" t="s">
        <v>10</v>
      </c>
      <c r="G644" s="47"/>
    </row>
    <row r="645" spans="1:7" x14ac:dyDescent="0.35">
      <c r="A645">
        <v>10</v>
      </c>
      <c r="B645">
        <v>11.6</v>
      </c>
      <c r="C645">
        <v>64.5</v>
      </c>
      <c r="D645" t="s">
        <v>10</v>
      </c>
      <c r="G645" s="47"/>
    </row>
    <row r="646" spans="1:7" x14ac:dyDescent="0.35">
      <c r="A646">
        <v>40</v>
      </c>
      <c r="B646">
        <v>10.6</v>
      </c>
      <c r="C646">
        <v>80</v>
      </c>
      <c r="D646" t="s">
        <v>10</v>
      </c>
      <c r="G646" s="47"/>
    </row>
    <row r="647" spans="1:7" x14ac:dyDescent="0.35">
      <c r="A647">
        <v>2</v>
      </c>
      <c r="B647">
        <v>10.7</v>
      </c>
      <c r="C647">
        <v>99.73</v>
      </c>
      <c r="D647" t="s">
        <v>10</v>
      </c>
      <c r="G647" s="47"/>
    </row>
    <row r="648" spans="1:7" x14ac:dyDescent="0.35">
      <c r="A648">
        <v>44</v>
      </c>
      <c r="B648">
        <v>10.3</v>
      </c>
      <c r="C648">
        <v>89.49</v>
      </c>
      <c r="D648" t="s">
        <v>10</v>
      </c>
      <c r="G648" s="47"/>
    </row>
    <row r="649" spans="1:7" x14ac:dyDescent="0.35">
      <c r="A649">
        <v>31</v>
      </c>
      <c r="B649">
        <v>11.6</v>
      </c>
      <c r="C649">
        <v>95.39</v>
      </c>
      <c r="D649" t="s">
        <v>10</v>
      </c>
      <c r="G649" s="47"/>
    </row>
    <row r="650" spans="1:7" x14ac:dyDescent="0.35">
      <c r="A650">
        <v>40</v>
      </c>
      <c r="B650">
        <v>12.1</v>
      </c>
      <c r="C650">
        <v>94.07</v>
      </c>
      <c r="D650" t="s">
        <v>10</v>
      </c>
      <c r="G650" s="47"/>
    </row>
    <row r="651" spans="1:7" x14ac:dyDescent="0.35">
      <c r="A651">
        <v>41</v>
      </c>
      <c r="B651">
        <v>12.5</v>
      </c>
      <c r="C651">
        <v>99.72</v>
      </c>
      <c r="D651" t="s">
        <v>10</v>
      </c>
      <c r="G651" s="47"/>
    </row>
    <row r="652" spans="1:7" x14ac:dyDescent="0.35">
      <c r="A652">
        <v>15</v>
      </c>
      <c r="B652">
        <v>10.9</v>
      </c>
      <c r="C652">
        <v>77.13</v>
      </c>
      <c r="D652" t="s">
        <v>10</v>
      </c>
      <c r="G652" s="47"/>
    </row>
    <row r="653" spans="1:7" x14ac:dyDescent="0.35">
      <c r="A653">
        <v>57</v>
      </c>
      <c r="B653">
        <v>13</v>
      </c>
      <c r="C653">
        <v>67.31</v>
      </c>
      <c r="D653" t="s">
        <v>10</v>
      </c>
      <c r="G653" s="47"/>
    </row>
    <row r="654" spans="1:7" x14ac:dyDescent="0.35">
      <c r="A654">
        <v>51</v>
      </c>
      <c r="B654">
        <v>11.5</v>
      </c>
      <c r="C654">
        <v>118.49</v>
      </c>
      <c r="D654" t="s">
        <v>10</v>
      </c>
      <c r="G654" s="47"/>
    </row>
    <row r="655" spans="1:7" x14ac:dyDescent="0.35">
      <c r="A655">
        <v>41</v>
      </c>
      <c r="B655">
        <v>11.1</v>
      </c>
      <c r="C655">
        <v>67.2</v>
      </c>
      <c r="D655" t="s">
        <v>10</v>
      </c>
      <c r="G655" s="47"/>
    </row>
    <row r="656" spans="1:7" ht="20" customHeight="1" x14ac:dyDescent="0.35">
      <c r="A656">
        <v>41</v>
      </c>
      <c r="B656">
        <v>12.5</v>
      </c>
      <c r="C656">
        <v>100.55</v>
      </c>
      <c r="D656" t="s">
        <v>10</v>
      </c>
      <c r="G656" s="47"/>
    </row>
    <row r="657" spans="1:7" ht="19.5" customHeight="1" x14ac:dyDescent="0.35">
      <c r="A657">
        <v>30</v>
      </c>
      <c r="B657">
        <v>12.2</v>
      </c>
      <c r="C657">
        <v>79.36</v>
      </c>
      <c r="D657" t="s">
        <v>10</v>
      </c>
      <c r="G657" s="47"/>
    </row>
    <row r="658" spans="1:7" ht="16.5" customHeight="1" x14ac:dyDescent="0.35">
      <c r="A658">
        <v>2</v>
      </c>
      <c r="B658">
        <v>12.4</v>
      </c>
      <c r="C658">
        <v>90.66</v>
      </c>
      <c r="D658" t="s">
        <v>10</v>
      </c>
      <c r="G658" s="47"/>
    </row>
    <row r="659" spans="1:7" ht="16.5" customHeight="1" x14ac:dyDescent="0.35">
      <c r="A659" s="64">
        <v>52</v>
      </c>
      <c r="B659" s="64">
        <v>4.1399999999999997</v>
      </c>
      <c r="C659" s="64">
        <v>36.58</v>
      </c>
      <c r="D659" s="64" t="s">
        <v>10</v>
      </c>
      <c r="G659" s="47"/>
    </row>
    <row r="660" spans="1:7" x14ac:dyDescent="0.35">
      <c r="A660" s="65">
        <v>31</v>
      </c>
      <c r="B660" s="65">
        <v>9.84</v>
      </c>
      <c r="C660" s="65">
        <v>108.17</v>
      </c>
      <c r="D660" s="65" t="s">
        <v>10</v>
      </c>
      <c r="G660" s="47"/>
    </row>
    <row r="661" spans="1:7" x14ac:dyDescent="0.35">
      <c r="A661" s="64">
        <v>38</v>
      </c>
      <c r="B661" s="64">
        <v>8.56</v>
      </c>
      <c r="C661" s="64">
        <v>103.65</v>
      </c>
      <c r="D661" s="64" t="s">
        <v>10</v>
      </c>
    </row>
  </sheetData>
  <conditionalFormatting sqref="H1:H1048576">
    <cfRule type="cellIs" dxfId="9" priority="1" operator="equal">
      <formula>TRUE</formula>
    </cfRule>
  </conditionalFormatting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3854-743B-4D06-BC04-A54A3E3CD78F}">
  <sheetPr codeName="Feuil5"/>
  <dimension ref="B2:J17"/>
  <sheetViews>
    <sheetView topLeftCell="A2" zoomScale="57" zoomScaleNormal="100" workbookViewId="0">
      <selection activeCell="D36" sqref="D36"/>
    </sheetView>
  </sheetViews>
  <sheetFormatPr baseColWidth="10" defaultColWidth="11.54296875" defaultRowHeight="14.5" x14ac:dyDescent="0.35"/>
  <cols>
    <col min="1" max="1" width="11.54296875" style="35" customWidth="1"/>
    <col min="2" max="2" width="18.453125" style="35" customWidth="1"/>
    <col min="3" max="3" width="16.81640625" style="35" bestFit="1" customWidth="1"/>
    <col min="4" max="8" width="16.81640625" style="35" customWidth="1"/>
    <col min="9" max="9" width="11.54296875" style="35"/>
    <col min="10" max="10" width="16.81640625" style="35" customWidth="1"/>
    <col min="11" max="16384" width="11.54296875" style="35"/>
  </cols>
  <sheetData>
    <row r="2" spans="2:10" ht="33.5" x14ac:dyDescent="0.75">
      <c r="B2" s="1" t="s">
        <v>0</v>
      </c>
      <c r="C2" s="2"/>
      <c r="D2" s="2"/>
      <c r="E2" s="2"/>
      <c r="F2" s="2"/>
      <c r="G2" s="2"/>
      <c r="H2" s="2"/>
      <c r="I2" s="2"/>
      <c r="J2" s="2"/>
    </row>
    <row r="3" spans="2:10" ht="15" thickBot="1" x14ac:dyDescent="0.4">
      <c r="B3" s="2"/>
      <c r="C3" s="2"/>
      <c r="D3" s="2"/>
      <c r="E3" s="2"/>
      <c r="F3" s="2"/>
      <c r="G3" s="2"/>
      <c r="H3" s="2"/>
      <c r="I3" s="2"/>
      <c r="J3" s="2"/>
    </row>
    <row r="4" spans="2:10" ht="15.5" x14ac:dyDescent="0.35">
      <c r="B4" s="66" t="s">
        <v>1</v>
      </c>
      <c r="C4" s="3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5" t="s">
        <v>7</v>
      </c>
      <c r="I4" s="2"/>
      <c r="J4" s="66" t="s">
        <v>8</v>
      </c>
    </row>
    <row r="5" spans="2:10" ht="16" thickBot="1" x14ac:dyDescent="0.4">
      <c r="B5" s="67"/>
      <c r="C5" s="6"/>
      <c r="D5" s="7"/>
      <c r="E5" s="7"/>
      <c r="F5" s="7"/>
      <c r="G5" s="7"/>
      <c r="H5" s="8"/>
      <c r="I5" s="2"/>
      <c r="J5" s="67"/>
    </row>
    <row r="6" spans="2:10" ht="15.5" x14ac:dyDescent="0.35">
      <c r="B6" s="9" t="s">
        <v>9</v>
      </c>
      <c r="C6" s="10">
        <v>10543</v>
      </c>
      <c r="D6" s="11">
        <v>11458</v>
      </c>
      <c r="E6" s="11">
        <v>13520</v>
      </c>
      <c r="F6" s="11">
        <v>14023</v>
      </c>
      <c r="G6" s="11">
        <v>14983</v>
      </c>
      <c r="H6" s="12">
        <v>14763.9</v>
      </c>
      <c r="I6" s="2"/>
      <c r="J6" s="48">
        <f>SUM(C6,H6,G6,F6,E6,D6)</f>
        <v>79290.899999999994</v>
      </c>
    </row>
    <row r="7" spans="2:10" ht="15.5" x14ac:dyDescent="0.35">
      <c r="B7" s="13" t="s">
        <v>10</v>
      </c>
      <c r="C7" s="14">
        <v>13855</v>
      </c>
      <c r="D7" s="15">
        <v>16052</v>
      </c>
      <c r="E7" s="15">
        <v>16797</v>
      </c>
      <c r="F7" s="15">
        <v>17582</v>
      </c>
      <c r="G7" s="15">
        <v>18216</v>
      </c>
      <c r="H7" s="16">
        <v>24898.82</v>
      </c>
      <c r="I7" s="2"/>
      <c r="J7" s="49">
        <f>C7+D7+E7+F7+G7+H7</f>
        <v>107400.82</v>
      </c>
    </row>
    <row r="8" spans="2:10" ht="16" thickBot="1" x14ac:dyDescent="0.4">
      <c r="B8" s="17" t="s">
        <v>11</v>
      </c>
      <c r="C8" s="18">
        <v>3002</v>
      </c>
      <c r="D8" s="19">
        <v>3769</v>
      </c>
      <c r="E8" s="19">
        <v>4230</v>
      </c>
      <c r="F8" s="19">
        <v>4341</v>
      </c>
      <c r="G8" s="19">
        <v>2713</v>
      </c>
      <c r="H8" s="20">
        <v>0</v>
      </c>
      <c r="I8" s="2"/>
      <c r="J8" s="50">
        <f>C8+D8+E8+F8+G8</f>
        <v>18055</v>
      </c>
    </row>
    <row r="9" spans="2:10" ht="15" thickBot="1" x14ac:dyDescent="0.4">
      <c r="B9" s="2"/>
      <c r="C9" s="2"/>
      <c r="D9" s="2"/>
      <c r="E9" s="2"/>
      <c r="F9" s="2"/>
      <c r="G9" s="2"/>
      <c r="H9" s="2"/>
      <c r="I9" s="2"/>
      <c r="J9" s="2"/>
    </row>
    <row r="10" spans="2:10" ht="16" thickBot="1" x14ac:dyDescent="0.4">
      <c r="B10" s="21" t="s">
        <v>12</v>
      </c>
      <c r="C10" s="22">
        <v>27400</v>
      </c>
      <c r="D10" s="23">
        <v>31279</v>
      </c>
      <c r="E10" s="23">
        <v>34547</v>
      </c>
      <c r="F10" s="23">
        <v>35946</v>
      </c>
      <c r="G10" s="23">
        <v>35912</v>
      </c>
      <c r="H10" s="24">
        <f>H6+H7+H8</f>
        <v>39662.720000000001</v>
      </c>
      <c r="I10" s="2"/>
      <c r="J10" s="51">
        <f>SUM(C10:H10)</f>
        <v>204746.72</v>
      </c>
    </row>
    <row r="11" spans="2:10" x14ac:dyDescent="0.35">
      <c r="B11" s="2"/>
      <c r="C11" s="2"/>
      <c r="D11" s="2"/>
      <c r="E11" s="2"/>
      <c r="F11" s="2"/>
      <c r="G11" s="2"/>
      <c r="H11" s="2"/>
      <c r="I11" s="2"/>
      <c r="J11" s="2"/>
    </row>
    <row r="12" spans="2:10" x14ac:dyDescent="0.35">
      <c r="B12" s="2"/>
      <c r="C12" s="2"/>
      <c r="D12" s="2"/>
      <c r="E12" s="2"/>
      <c r="F12" s="2"/>
      <c r="G12" s="2"/>
      <c r="H12" s="2"/>
      <c r="I12" s="2"/>
      <c r="J12" s="2"/>
    </row>
    <row r="13" spans="2:10" ht="15" thickBot="1" x14ac:dyDescent="0.4">
      <c r="B13" s="2"/>
      <c r="C13" s="2"/>
      <c r="D13" s="2"/>
      <c r="E13" s="2"/>
      <c r="F13" s="2"/>
      <c r="G13" s="2"/>
      <c r="H13" s="2"/>
      <c r="I13" s="2"/>
      <c r="J13" s="2"/>
    </row>
    <row r="14" spans="2:10" ht="16" thickBot="1" x14ac:dyDescent="0.4">
      <c r="B14" s="25" t="s">
        <v>13</v>
      </c>
      <c r="C14" s="26" t="s">
        <v>14</v>
      </c>
      <c r="D14" s="27" t="s">
        <v>15</v>
      </c>
      <c r="E14" s="2"/>
      <c r="F14" s="2"/>
      <c r="G14" s="28"/>
      <c r="H14" s="2"/>
      <c r="I14" s="2"/>
      <c r="J14" s="2"/>
    </row>
    <row r="15" spans="2:10" x14ac:dyDescent="0.35">
      <c r="B15" s="29" t="s">
        <v>16</v>
      </c>
      <c r="C15" s="30">
        <v>47</v>
      </c>
      <c r="D15" s="31">
        <v>1562.73</v>
      </c>
      <c r="E15" s="2"/>
      <c r="F15" s="2"/>
      <c r="G15" s="2"/>
      <c r="H15" s="2"/>
      <c r="I15" s="2"/>
      <c r="J15" s="2"/>
    </row>
    <row r="16" spans="2:10" ht="15" thickBot="1" x14ac:dyDescent="0.4">
      <c r="B16" s="32" t="s">
        <v>17</v>
      </c>
      <c r="C16" s="33">
        <v>103</v>
      </c>
      <c r="D16" s="34">
        <v>8507.68</v>
      </c>
      <c r="E16" s="2"/>
      <c r="F16" s="2"/>
      <c r="G16" s="2"/>
      <c r="H16" s="2"/>
      <c r="I16" s="2"/>
      <c r="J16" s="2"/>
    </row>
    <row r="17" spans="2:10" x14ac:dyDescent="0.35">
      <c r="B17" s="2"/>
      <c r="C17" s="2"/>
      <c r="D17" s="2"/>
      <c r="E17" s="2"/>
      <c r="F17" s="2"/>
      <c r="G17" s="2"/>
      <c r="H17" s="2"/>
      <c r="I17" s="2"/>
      <c r="J17" s="2"/>
    </row>
  </sheetData>
  <mergeCells count="2">
    <mergeCell ref="B4:B5"/>
    <mergeCell ref="J4:J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39EF0-6C40-4815-9F17-28777AB8CB6A}">
  <sheetPr codeName="Feuil2"/>
  <dimension ref="B2:J17"/>
  <sheetViews>
    <sheetView topLeftCell="A5" zoomScale="64" zoomScaleNormal="64" workbookViewId="0">
      <selection activeCell="P25" sqref="P25"/>
    </sheetView>
  </sheetViews>
  <sheetFormatPr baseColWidth="10" defaultColWidth="11.54296875" defaultRowHeight="14.5" x14ac:dyDescent="0.35"/>
  <cols>
    <col min="1" max="1" width="11.54296875" style="35" customWidth="1"/>
    <col min="2" max="2" width="18.453125" style="35" customWidth="1"/>
    <col min="3" max="3" width="16.81640625" style="35" bestFit="1" customWidth="1"/>
    <col min="4" max="8" width="16.81640625" style="35" customWidth="1"/>
    <col min="9" max="9" width="11.54296875" style="35"/>
    <col min="10" max="10" width="16.81640625" style="35" customWidth="1"/>
    <col min="11" max="16384" width="11.54296875" style="35"/>
  </cols>
  <sheetData>
    <row r="2" spans="2:10" ht="33.5" x14ac:dyDescent="0.75">
      <c r="B2" s="1" t="s">
        <v>0</v>
      </c>
      <c r="C2" s="2"/>
      <c r="D2" s="2"/>
      <c r="E2" s="2"/>
      <c r="F2" s="2"/>
      <c r="G2" s="2"/>
      <c r="H2" s="2"/>
      <c r="I2" s="2"/>
      <c r="J2" s="2"/>
    </row>
    <row r="3" spans="2:10" ht="15" thickBot="1" x14ac:dyDescent="0.4">
      <c r="B3" s="2"/>
      <c r="C3" s="2"/>
      <c r="D3" s="2"/>
      <c r="E3" s="2"/>
      <c r="F3" s="2"/>
      <c r="G3" s="2"/>
      <c r="H3" s="2"/>
      <c r="I3" s="2"/>
      <c r="J3" s="2"/>
    </row>
    <row r="4" spans="2:10" ht="15.5" x14ac:dyDescent="0.35">
      <c r="B4" s="66" t="s">
        <v>1</v>
      </c>
      <c r="C4" s="3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5" t="s">
        <v>7</v>
      </c>
      <c r="I4" s="2"/>
      <c r="J4" s="66" t="s">
        <v>8</v>
      </c>
    </row>
    <row r="5" spans="2:10" ht="16" thickBot="1" x14ac:dyDescent="0.4">
      <c r="B5" s="67"/>
      <c r="C5" s="6"/>
      <c r="D5" s="7"/>
      <c r="E5" s="7"/>
      <c r="F5" s="7"/>
      <c r="G5" s="7"/>
      <c r="H5" s="8"/>
      <c r="I5" s="2"/>
      <c r="J5" s="67"/>
    </row>
    <row r="6" spans="2:10" ht="15.5" x14ac:dyDescent="0.35">
      <c r="B6" s="9" t="s">
        <v>9</v>
      </c>
      <c r="C6" s="10">
        <v>10543</v>
      </c>
      <c r="D6" s="11">
        <v>11458</v>
      </c>
      <c r="E6" s="11">
        <v>13520</v>
      </c>
      <c r="F6" s="11">
        <v>14023</v>
      </c>
      <c r="G6" s="11">
        <v>14983</v>
      </c>
      <c r="H6" s="12">
        <v>14763.9</v>
      </c>
      <c r="I6" s="2"/>
      <c r="J6" s="48">
        <f>SUM(C6,H6,G6,F6,E6,D6)</f>
        <v>79290.899999999994</v>
      </c>
    </row>
    <row r="7" spans="2:10" ht="15.5" x14ac:dyDescent="0.35">
      <c r="B7" s="13" t="s">
        <v>10</v>
      </c>
      <c r="C7" s="14">
        <v>13855</v>
      </c>
      <c r="D7" s="15">
        <v>16052</v>
      </c>
      <c r="E7" s="15">
        <v>16797</v>
      </c>
      <c r="F7" s="15">
        <v>17582</v>
      </c>
      <c r="G7" s="15">
        <v>18216</v>
      </c>
      <c r="H7" s="16">
        <v>24898.82</v>
      </c>
      <c r="I7" s="2"/>
      <c r="J7" s="49">
        <f>C7+D7+E7+F7+G7+H7</f>
        <v>107400.82</v>
      </c>
    </row>
    <row r="8" spans="2:10" ht="16" thickBot="1" x14ac:dyDescent="0.4">
      <c r="B8" s="17" t="s">
        <v>11</v>
      </c>
      <c r="C8" s="18">
        <v>3002</v>
      </c>
      <c r="D8" s="19">
        <v>3769</v>
      </c>
      <c r="E8" s="19">
        <v>4230</v>
      </c>
      <c r="F8" s="19">
        <v>4341</v>
      </c>
      <c r="G8" s="19">
        <v>2713</v>
      </c>
      <c r="H8" s="20">
        <v>0</v>
      </c>
      <c r="I8" s="2"/>
      <c r="J8" s="50">
        <f>C8+D8+E8+F8+G8</f>
        <v>18055</v>
      </c>
    </row>
    <row r="9" spans="2:10" ht="15" thickBot="1" x14ac:dyDescent="0.4">
      <c r="B9" s="2"/>
      <c r="C9" s="2"/>
      <c r="D9" s="2"/>
      <c r="E9" s="2"/>
      <c r="F9" s="2"/>
      <c r="G9" s="2"/>
      <c r="H9" s="2"/>
      <c r="I9" s="2"/>
      <c r="J9" s="2"/>
    </row>
    <row r="10" spans="2:10" ht="16" thickBot="1" x14ac:dyDescent="0.4">
      <c r="B10" s="21" t="s">
        <v>12</v>
      </c>
      <c r="C10" s="22">
        <v>27400</v>
      </c>
      <c r="D10" s="23">
        <v>31279</v>
      </c>
      <c r="E10" s="23">
        <v>34547</v>
      </c>
      <c r="F10" s="23">
        <v>35946</v>
      </c>
      <c r="G10" s="23">
        <v>35912</v>
      </c>
      <c r="H10" s="24">
        <f>H6+H7+H8</f>
        <v>39662.720000000001</v>
      </c>
      <c r="I10" s="2"/>
      <c r="J10" s="51">
        <f>SUM(C10:H10)</f>
        <v>204746.72</v>
      </c>
    </row>
    <row r="11" spans="2:10" x14ac:dyDescent="0.35">
      <c r="B11" s="2"/>
      <c r="C11" s="2"/>
      <c r="D11" s="2"/>
      <c r="E11" s="2"/>
      <c r="F11" s="2"/>
      <c r="G11" s="2"/>
      <c r="H11" s="2"/>
      <c r="I11" s="2"/>
      <c r="J11" s="2"/>
    </row>
    <row r="12" spans="2:10" x14ac:dyDescent="0.35">
      <c r="B12" s="2"/>
      <c r="C12" s="2"/>
      <c r="D12" s="2"/>
      <c r="E12" s="2"/>
      <c r="F12" s="2"/>
      <c r="G12" s="2"/>
      <c r="H12" s="2"/>
      <c r="I12" s="2"/>
      <c r="J12" s="2"/>
    </row>
    <row r="13" spans="2:10" ht="15" thickBot="1" x14ac:dyDescent="0.4">
      <c r="B13" s="2"/>
      <c r="C13" s="2"/>
      <c r="D13" s="2"/>
      <c r="E13" s="2"/>
      <c r="F13" s="2"/>
      <c r="G13" s="2"/>
      <c r="H13" s="2"/>
      <c r="I13" s="2"/>
      <c r="J13" s="2"/>
    </row>
    <row r="14" spans="2:10" ht="16" thickBot="1" x14ac:dyDescent="0.4">
      <c r="B14" s="25" t="s">
        <v>13</v>
      </c>
      <c r="C14" s="26" t="s">
        <v>14</v>
      </c>
      <c r="D14" s="27" t="s">
        <v>15</v>
      </c>
      <c r="E14" s="2"/>
      <c r="F14" s="2"/>
      <c r="G14" s="28"/>
      <c r="H14" s="2"/>
      <c r="I14" s="2"/>
      <c r="J14" s="2"/>
    </row>
    <row r="15" spans="2:10" x14ac:dyDescent="0.35">
      <c r="B15" s="29" t="s">
        <v>16</v>
      </c>
      <c r="C15" s="30">
        <v>47</v>
      </c>
      <c r="D15" s="31">
        <v>1562.73</v>
      </c>
      <c r="E15" s="2"/>
      <c r="F15" s="2"/>
      <c r="G15" s="2"/>
      <c r="H15" s="2"/>
      <c r="I15" s="2"/>
      <c r="J15" s="2"/>
    </row>
    <row r="16" spans="2:10" ht="15" thickBot="1" x14ac:dyDescent="0.4">
      <c r="B16" s="32" t="s">
        <v>17</v>
      </c>
      <c r="C16" s="33">
        <v>103</v>
      </c>
      <c r="D16" s="34">
        <v>8507.68</v>
      </c>
      <c r="E16" s="2"/>
      <c r="F16" s="2"/>
      <c r="G16" s="2"/>
      <c r="H16" s="2"/>
      <c r="I16" s="2"/>
      <c r="J16" s="2"/>
    </row>
    <row r="17" spans="2:10" x14ac:dyDescent="0.35">
      <c r="B17" s="2"/>
      <c r="C17" s="2"/>
      <c r="D17" s="2"/>
      <c r="E17" s="2"/>
      <c r="F17" s="2"/>
      <c r="G17" s="2"/>
      <c r="H17" s="2"/>
      <c r="I17" s="2"/>
      <c r="J17" s="2"/>
    </row>
  </sheetData>
  <mergeCells count="2">
    <mergeCell ref="B4:B5"/>
    <mergeCell ref="J4:J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DB9D8-DCB9-4F88-A3A3-892E423D74D6}">
  <dimension ref="A1:Q414"/>
  <sheetViews>
    <sheetView topLeftCell="E1" workbookViewId="0">
      <selection activeCell="L2" sqref="L2"/>
    </sheetView>
  </sheetViews>
  <sheetFormatPr baseColWidth="10" defaultRowHeight="14.5" x14ac:dyDescent="0.35"/>
  <cols>
    <col min="1" max="1" width="9.90625" hidden="1" customWidth="1"/>
    <col min="2" max="2" width="15.26953125" hidden="1" customWidth="1"/>
    <col min="3" max="3" width="10.54296875" hidden="1" customWidth="1"/>
    <col min="4" max="4" width="11.08984375" hidden="1" customWidth="1"/>
    <col min="9" max="9" width="15.26953125" customWidth="1"/>
    <col min="10" max="10" width="14.26953125" customWidth="1"/>
    <col min="11" max="11" width="17.1796875" customWidth="1"/>
    <col min="12" max="12" width="13.08984375" customWidth="1"/>
    <col min="14" max="15" width="0" hidden="1" customWidth="1"/>
    <col min="16" max="16" width="14.26953125" hidden="1" customWidth="1"/>
    <col min="17" max="17" width="15.08984375" hidden="1" customWidth="1"/>
    <col min="19" max="19" width="0" hidden="1" customWidth="1"/>
  </cols>
  <sheetData>
    <row r="1" spans="1:17" x14ac:dyDescent="0.35">
      <c r="A1" t="s">
        <v>18</v>
      </c>
      <c r="B1" t="s">
        <v>19</v>
      </c>
      <c r="C1" t="s">
        <v>20</v>
      </c>
      <c r="D1" t="s">
        <v>21</v>
      </c>
      <c r="H1" s="62" t="s">
        <v>18</v>
      </c>
      <c r="I1" s="62" t="s">
        <v>28</v>
      </c>
      <c r="J1" s="62" t="s">
        <v>27</v>
      </c>
      <c r="K1" s="63" t="s">
        <v>29</v>
      </c>
      <c r="L1" s="63" t="s">
        <v>30</v>
      </c>
      <c r="N1" t="s">
        <v>18</v>
      </c>
      <c r="O1" t="s">
        <v>19</v>
      </c>
      <c r="P1" t="s">
        <v>20</v>
      </c>
      <c r="Q1" t="s">
        <v>21</v>
      </c>
    </row>
    <row r="2" spans="1:17" x14ac:dyDescent="0.35">
      <c r="A2">
        <v>1</v>
      </c>
      <c r="B2">
        <v>5.76</v>
      </c>
      <c r="C2">
        <v>36.57</v>
      </c>
      <c r="D2" s="55" t="s">
        <v>10</v>
      </c>
      <c r="H2" s="60">
        <v>1</v>
      </c>
      <c r="I2" s="59">
        <v>9</v>
      </c>
      <c r="J2" s="60">
        <f>SUM(C2:C6)</f>
        <v>233.41000000000003</v>
      </c>
      <c r="K2" s="56">
        <f>SUM(P2:P5)</f>
        <v>201.41</v>
      </c>
      <c r="L2" s="56">
        <f>SUM(J2:K2)</f>
        <v>434.82000000000005</v>
      </c>
      <c r="N2">
        <v>1</v>
      </c>
      <c r="O2">
        <v>4.5599999999999996</v>
      </c>
      <c r="P2">
        <v>46.9</v>
      </c>
      <c r="Q2" s="55" t="s">
        <v>22</v>
      </c>
    </row>
    <row r="3" spans="1:17" x14ac:dyDescent="0.35">
      <c r="A3">
        <v>1</v>
      </c>
      <c r="B3">
        <v>9.06</v>
      </c>
      <c r="C3">
        <v>67.66</v>
      </c>
      <c r="D3" s="55" t="s">
        <v>10</v>
      </c>
      <c r="H3" s="61">
        <v>2</v>
      </c>
      <c r="I3" s="59">
        <v>12</v>
      </c>
      <c r="J3" s="61">
        <f>SUM(C7:C16)</f>
        <v>728.97000000000014</v>
      </c>
      <c r="K3" s="57">
        <f>SUM(P6:P7)</f>
        <v>142.66</v>
      </c>
      <c r="L3" s="57">
        <f>SUM(J3:K3)</f>
        <v>871.63000000000011</v>
      </c>
      <c r="N3">
        <v>1</v>
      </c>
      <c r="O3">
        <v>5.45</v>
      </c>
      <c r="P3">
        <v>52.45</v>
      </c>
      <c r="Q3" s="55" t="s">
        <v>22</v>
      </c>
    </row>
    <row r="4" spans="1:17" x14ac:dyDescent="0.35">
      <c r="A4">
        <v>1</v>
      </c>
      <c r="B4">
        <v>1.8</v>
      </c>
      <c r="C4">
        <v>31.37</v>
      </c>
      <c r="D4" s="55" t="s">
        <v>10</v>
      </c>
      <c r="H4" s="60">
        <v>3</v>
      </c>
      <c r="I4" s="59">
        <v>9</v>
      </c>
      <c r="J4" s="60">
        <f>SUM(C17:C20)</f>
        <v>275.13</v>
      </c>
      <c r="K4" s="56">
        <f>SUM(P8:P12)</f>
        <v>360.62</v>
      </c>
      <c r="L4" s="56">
        <f t="shared" ref="L4:L67" si="0">SUM(J4:K4)</f>
        <v>635.75</v>
      </c>
      <c r="N4">
        <v>1</v>
      </c>
      <c r="O4">
        <v>4.84</v>
      </c>
      <c r="P4">
        <v>37.46</v>
      </c>
      <c r="Q4" s="55" t="s">
        <v>22</v>
      </c>
    </row>
    <row r="5" spans="1:17" x14ac:dyDescent="0.35">
      <c r="A5">
        <v>1</v>
      </c>
      <c r="B5">
        <v>6.73</v>
      </c>
      <c r="C5">
        <v>44.64</v>
      </c>
      <c r="D5" s="55" t="s">
        <v>10</v>
      </c>
      <c r="H5" s="61">
        <v>4</v>
      </c>
      <c r="I5" s="59">
        <v>6</v>
      </c>
      <c r="J5" s="61">
        <f>SUM(C21:C24)</f>
        <v>272.82</v>
      </c>
      <c r="K5" s="57">
        <f>SUM(P13:P14)</f>
        <v>138.84</v>
      </c>
      <c r="L5" s="57">
        <f t="shared" si="0"/>
        <v>411.65999999999997</v>
      </c>
      <c r="N5">
        <v>1</v>
      </c>
      <c r="O5">
        <v>6.81</v>
      </c>
      <c r="P5">
        <v>64.599999999999994</v>
      </c>
      <c r="Q5" s="55" t="s">
        <v>22</v>
      </c>
    </row>
    <row r="6" spans="1:17" x14ac:dyDescent="0.35">
      <c r="A6">
        <v>1</v>
      </c>
      <c r="B6">
        <v>7.93</v>
      </c>
      <c r="C6">
        <v>53.17</v>
      </c>
      <c r="D6" s="55" t="s">
        <v>10</v>
      </c>
      <c r="H6" s="60">
        <v>5</v>
      </c>
      <c r="I6" s="59">
        <v>13</v>
      </c>
      <c r="J6" s="60">
        <f>SUM(C25:C34)</f>
        <v>580.52</v>
      </c>
      <c r="K6" s="56">
        <f>SUM(P15:P17)</f>
        <v>163.13999999999999</v>
      </c>
      <c r="L6" s="56">
        <f t="shared" si="0"/>
        <v>743.66</v>
      </c>
      <c r="N6">
        <v>2</v>
      </c>
      <c r="O6">
        <v>9.4600000000000009</v>
      </c>
      <c r="P6">
        <v>90.99</v>
      </c>
      <c r="Q6" s="55" t="s">
        <v>22</v>
      </c>
    </row>
    <row r="7" spans="1:17" x14ac:dyDescent="0.35">
      <c r="A7">
        <v>2</v>
      </c>
      <c r="B7">
        <v>5.0999999999999996</v>
      </c>
      <c r="C7">
        <v>51</v>
      </c>
      <c r="D7" s="55" t="s">
        <v>10</v>
      </c>
      <c r="H7" s="61">
        <v>6</v>
      </c>
      <c r="I7" s="59">
        <v>10</v>
      </c>
      <c r="J7" s="61">
        <f>SUM(C35:C38)</f>
        <v>248.14000000000001</v>
      </c>
      <c r="K7" s="57">
        <f>SUM(P18:P23)</f>
        <v>338.63000000000005</v>
      </c>
      <c r="L7" s="57">
        <f t="shared" si="0"/>
        <v>586.7700000000001</v>
      </c>
      <c r="N7">
        <v>2</v>
      </c>
      <c r="O7">
        <v>4.6399999999999997</v>
      </c>
      <c r="P7">
        <v>51.67</v>
      </c>
      <c r="Q7" s="55" t="s">
        <v>22</v>
      </c>
    </row>
    <row r="8" spans="1:17" x14ac:dyDescent="0.35">
      <c r="A8">
        <v>2</v>
      </c>
      <c r="B8">
        <v>5.96</v>
      </c>
      <c r="C8">
        <v>80.31</v>
      </c>
      <c r="D8" s="55" t="s">
        <v>10</v>
      </c>
      <c r="H8" s="60">
        <v>7</v>
      </c>
      <c r="I8" s="59">
        <v>16</v>
      </c>
      <c r="J8" s="60">
        <f>SUM(C39:C46)</f>
        <v>320.99</v>
      </c>
      <c r="K8" s="56">
        <f>SUM(P24:P31)</f>
        <v>536.27</v>
      </c>
      <c r="L8" s="56">
        <f t="shared" si="0"/>
        <v>857.26</v>
      </c>
      <c r="N8">
        <v>3</v>
      </c>
      <c r="O8">
        <v>5.63</v>
      </c>
      <c r="P8">
        <v>51.14</v>
      </c>
      <c r="Q8" s="55" t="s">
        <v>22</v>
      </c>
    </row>
    <row r="9" spans="1:17" x14ac:dyDescent="0.35">
      <c r="A9">
        <v>2</v>
      </c>
      <c r="B9">
        <v>7.76</v>
      </c>
      <c r="C9">
        <v>36.99</v>
      </c>
      <c r="D9" s="55" t="s">
        <v>10</v>
      </c>
      <c r="H9" s="61">
        <v>8</v>
      </c>
      <c r="I9" s="59">
        <v>9</v>
      </c>
      <c r="J9" s="61">
        <f>SUM(C47:C53)</f>
        <v>373.76000000000005</v>
      </c>
      <c r="K9" s="57">
        <f>SUM(P32:P33)</f>
        <v>136.15</v>
      </c>
      <c r="L9" s="57">
        <f t="shared" si="0"/>
        <v>509.91000000000008</v>
      </c>
      <c r="N9">
        <v>3</v>
      </c>
      <c r="O9">
        <v>6.22</v>
      </c>
      <c r="P9">
        <v>51.33</v>
      </c>
      <c r="Q9" s="55" t="s">
        <v>22</v>
      </c>
    </row>
    <row r="10" spans="1:17" x14ac:dyDescent="0.35">
      <c r="A10">
        <v>2</v>
      </c>
      <c r="B10">
        <v>8.5399999999999991</v>
      </c>
      <c r="C10">
        <v>86.36</v>
      </c>
      <c r="D10" s="55" t="s">
        <v>10</v>
      </c>
      <c r="H10" s="60">
        <v>9</v>
      </c>
      <c r="I10" s="59">
        <v>16</v>
      </c>
      <c r="J10" s="60">
        <f>SUM(C54:C64)</f>
        <v>608.84</v>
      </c>
      <c r="K10" s="56">
        <f>SUM(P34:P38)</f>
        <v>273.39000000000004</v>
      </c>
      <c r="L10" s="56">
        <f t="shared" si="0"/>
        <v>882.23</v>
      </c>
      <c r="N10">
        <v>3</v>
      </c>
      <c r="O10">
        <v>8.93</v>
      </c>
      <c r="P10">
        <v>118.54</v>
      </c>
      <c r="Q10" s="55" t="s">
        <v>22</v>
      </c>
    </row>
    <row r="11" spans="1:17" x14ac:dyDescent="0.35">
      <c r="A11">
        <v>2</v>
      </c>
      <c r="B11">
        <v>3.3</v>
      </c>
      <c r="C11">
        <v>33.03</v>
      </c>
      <c r="D11" s="55" t="s">
        <v>10</v>
      </c>
      <c r="H11" s="61">
        <v>10</v>
      </c>
      <c r="I11" s="59">
        <v>15</v>
      </c>
      <c r="J11" s="61">
        <f>SUM(C65:C74)</f>
        <v>523.8900000000001</v>
      </c>
      <c r="K11" s="57">
        <f>SUM(P39:P43)</f>
        <v>223.78</v>
      </c>
      <c r="L11" s="57">
        <f t="shared" si="0"/>
        <v>747.67000000000007</v>
      </c>
      <c r="N11">
        <v>3</v>
      </c>
      <c r="O11">
        <v>7.71</v>
      </c>
      <c r="P11">
        <v>67.36</v>
      </c>
      <c r="Q11" s="55" t="s">
        <v>22</v>
      </c>
    </row>
    <row r="12" spans="1:17" x14ac:dyDescent="0.35">
      <c r="A12">
        <v>2</v>
      </c>
      <c r="B12">
        <v>10.7</v>
      </c>
      <c r="C12">
        <v>99.73</v>
      </c>
      <c r="D12" s="55" t="s">
        <v>10</v>
      </c>
      <c r="H12" s="60">
        <v>11</v>
      </c>
      <c r="I12" s="59">
        <v>5</v>
      </c>
      <c r="J12" s="60">
        <f>SUM(C75:C76)</f>
        <v>99.86</v>
      </c>
      <c r="K12" s="56">
        <f>SUM(P44:P46)</f>
        <v>150.74</v>
      </c>
      <c r="L12" s="56">
        <f t="shared" si="0"/>
        <v>250.60000000000002</v>
      </c>
      <c r="N12">
        <v>3</v>
      </c>
      <c r="O12">
        <v>8.1199999999999992</v>
      </c>
      <c r="P12">
        <v>72.25</v>
      </c>
      <c r="Q12" s="55" t="s">
        <v>22</v>
      </c>
    </row>
    <row r="13" spans="1:17" x14ac:dyDescent="0.35">
      <c r="A13">
        <v>2</v>
      </c>
      <c r="B13">
        <v>12.4</v>
      </c>
      <c r="C13">
        <v>90.66</v>
      </c>
      <c r="D13" s="55" t="s">
        <v>10</v>
      </c>
      <c r="H13" s="61">
        <v>12</v>
      </c>
      <c r="I13" s="59">
        <v>8</v>
      </c>
      <c r="J13" s="61">
        <f>SUM(C77:C81)</f>
        <v>260.83000000000004</v>
      </c>
      <c r="K13" s="57">
        <f>SUM(P47:P49)</f>
        <v>182.85000000000002</v>
      </c>
      <c r="L13" s="57">
        <f t="shared" si="0"/>
        <v>443.68000000000006</v>
      </c>
      <c r="N13">
        <v>4</v>
      </c>
      <c r="O13">
        <v>9.42</v>
      </c>
      <c r="P13">
        <v>75.459999999999994</v>
      </c>
      <c r="Q13" s="55" t="s">
        <v>22</v>
      </c>
    </row>
    <row r="14" spans="1:17" x14ac:dyDescent="0.35">
      <c r="A14">
        <v>2</v>
      </c>
      <c r="B14">
        <v>7.12</v>
      </c>
      <c r="C14">
        <v>89.46</v>
      </c>
      <c r="D14" s="55" t="s">
        <v>10</v>
      </c>
      <c r="H14" s="60">
        <v>13</v>
      </c>
      <c r="I14" s="59">
        <v>11</v>
      </c>
      <c r="J14" s="60">
        <f>SUM(C82:C88)</f>
        <v>311.83000000000004</v>
      </c>
      <c r="K14" s="56">
        <f>SUM(P50:P53)</f>
        <v>284.57</v>
      </c>
      <c r="L14" s="56">
        <f t="shared" si="0"/>
        <v>596.40000000000009</v>
      </c>
      <c r="N14">
        <v>4</v>
      </c>
      <c r="O14">
        <v>5.12</v>
      </c>
      <c r="P14">
        <v>63.38</v>
      </c>
      <c r="Q14" s="55" t="s">
        <v>22</v>
      </c>
    </row>
    <row r="15" spans="1:17" x14ac:dyDescent="0.35">
      <c r="A15">
        <v>2</v>
      </c>
      <c r="B15">
        <v>9.73</v>
      </c>
      <c r="C15">
        <v>94.71</v>
      </c>
      <c r="D15" s="55" t="s">
        <v>10</v>
      </c>
      <c r="H15" s="61">
        <v>14</v>
      </c>
      <c r="I15" s="59">
        <v>14</v>
      </c>
      <c r="J15" s="61">
        <f>SUM(C89:C98)</f>
        <v>612.15</v>
      </c>
      <c r="K15" s="57">
        <f>SUM(P54:P57)</f>
        <v>273.77999999999997</v>
      </c>
      <c r="L15" s="57">
        <f t="shared" si="0"/>
        <v>885.93</v>
      </c>
      <c r="N15">
        <v>5</v>
      </c>
      <c r="O15">
        <v>8.2200000000000006</v>
      </c>
      <c r="P15">
        <v>60.49</v>
      </c>
      <c r="Q15" s="55" t="s">
        <v>22</v>
      </c>
    </row>
    <row r="16" spans="1:17" x14ac:dyDescent="0.35">
      <c r="A16">
        <v>2</v>
      </c>
      <c r="B16">
        <v>6.03</v>
      </c>
      <c r="C16">
        <v>66.72</v>
      </c>
      <c r="D16" s="55" t="s">
        <v>10</v>
      </c>
      <c r="H16" s="60">
        <v>15</v>
      </c>
      <c r="I16" s="59">
        <v>16</v>
      </c>
      <c r="J16" s="60">
        <f>SUM(C99:C111)</f>
        <v>872.33999999999992</v>
      </c>
      <c r="K16" s="56">
        <f>SUM(P58:P60)</f>
        <v>190.66000000000003</v>
      </c>
      <c r="L16" s="56">
        <f t="shared" si="0"/>
        <v>1063</v>
      </c>
      <c r="N16">
        <v>5</v>
      </c>
      <c r="O16">
        <v>7.28</v>
      </c>
      <c r="P16">
        <v>62.93</v>
      </c>
      <c r="Q16" s="55" t="s">
        <v>22</v>
      </c>
    </row>
    <row r="17" spans="1:17" x14ac:dyDescent="0.35">
      <c r="A17">
        <v>3</v>
      </c>
      <c r="B17">
        <v>5.0999999999999996</v>
      </c>
      <c r="C17">
        <v>38.1</v>
      </c>
      <c r="D17" s="55" t="s">
        <v>10</v>
      </c>
      <c r="H17" s="61">
        <v>16</v>
      </c>
      <c r="I17" s="59">
        <v>14</v>
      </c>
      <c r="J17" s="61">
        <f>SUM(C112:C119)</f>
        <v>588.88</v>
      </c>
      <c r="K17" s="57">
        <f>SUM(P61:P66)</f>
        <v>378.16</v>
      </c>
      <c r="L17" s="57">
        <f t="shared" si="0"/>
        <v>967.04</v>
      </c>
      <c r="N17">
        <v>5</v>
      </c>
      <c r="O17">
        <v>5.43</v>
      </c>
      <c r="P17">
        <v>39.72</v>
      </c>
      <c r="Q17" s="55" t="s">
        <v>22</v>
      </c>
    </row>
    <row r="18" spans="1:17" x14ac:dyDescent="0.35">
      <c r="A18">
        <v>3</v>
      </c>
      <c r="B18">
        <v>12</v>
      </c>
      <c r="C18">
        <v>95.73</v>
      </c>
      <c r="D18" s="55" t="s">
        <v>10</v>
      </c>
      <c r="H18" s="60">
        <v>17</v>
      </c>
      <c r="I18" s="59">
        <v>16</v>
      </c>
      <c r="J18" s="60">
        <f>SUM(C120:C132)</f>
        <v>783.25</v>
      </c>
      <c r="K18" s="56">
        <f>SUM(P67:P69)</f>
        <v>125.61</v>
      </c>
      <c r="L18" s="56">
        <f t="shared" si="0"/>
        <v>908.86</v>
      </c>
      <c r="N18">
        <v>6</v>
      </c>
      <c r="O18">
        <v>6.34</v>
      </c>
      <c r="P18">
        <v>52.36</v>
      </c>
      <c r="Q18" s="55" t="s">
        <v>22</v>
      </c>
    </row>
    <row r="19" spans="1:17" x14ac:dyDescent="0.35">
      <c r="A19">
        <v>3</v>
      </c>
      <c r="B19">
        <v>5.44</v>
      </c>
      <c r="C19">
        <v>47.04</v>
      </c>
      <c r="D19" s="55" t="s">
        <v>10</v>
      </c>
      <c r="H19" s="61">
        <v>18</v>
      </c>
      <c r="I19" s="59">
        <v>15</v>
      </c>
      <c r="J19" s="61">
        <f>SUM(C133:C139)</f>
        <v>483.06</v>
      </c>
      <c r="K19" s="57">
        <f>SUM(P70:P77)</f>
        <v>531.19000000000005</v>
      </c>
      <c r="L19" s="57">
        <f t="shared" si="0"/>
        <v>1014.25</v>
      </c>
      <c r="N19">
        <v>6</v>
      </c>
      <c r="O19">
        <v>4.68</v>
      </c>
      <c r="P19">
        <v>9.23</v>
      </c>
      <c r="Q19" s="55" t="s">
        <v>22</v>
      </c>
    </row>
    <row r="20" spans="1:17" x14ac:dyDescent="0.35">
      <c r="A20">
        <v>3</v>
      </c>
      <c r="B20">
        <v>9.23</v>
      </c>
      <c r="C20">
        <v>94.26</v>
      </c>
      <c r="D20" s="55" t="s">
        <v>10</v>
      </c>
      <c r="H20" s="60">
        <v>19</v>
      </c>
      <c r="I20" s="59">
        <v>14</v>
      </c>
      <c r="J20" s="60">
        <f>SUM(C140:C150)</f>
        <v>531.19000000000005</v>
      </c>
      <c r="K20" s="56">
        <f>SUM(P78:P80)</f>
        <v>169.84</v>
      </c>
      <c r="L20" s="56">
        <f t="shared" si="0"/>
        <v>701.03000000000009</v>
      </c>
      <c r="N20">
        <v>6</v>
      </c>
      <c r="O20">
        <v>9.0500000000000007</v>
      </c>
      <c r="P20">
        <v>77.84</v>
      </c>
      <c r="Q20" s="55" t="s">
        <v>22</v>
      </c>
    </row>
    <row r="21" spans="1:17" x14ac:dyDescent="0.35">
      <c r="A21">
        <v>4</v>
      </c>
      <c r="B21">
        <v>7.06</v>
      </c>
      <c r="C21">
        <v>40.79</v>
      </c>
      <c r="D21" s="55" t="s">
        <v>10</v>
      </c>
      <c r="H21" s="61">
        <v>20</v>
      </c>
      <c r="I21" s="59">
        <v>18</v>
      </c>
      <c r="J21" s="61">
        <f>SUM(C151:C162)</f>
        <v>779.14999999999986</v>
      </c>
      <c r="K21" s="57">
        <f>SUM(P81:P86)</f>
        <v>368.79999999999995</v>
      </c>
      <c r="L21" s="57">
        <f t="shared" si="0"/>
        <v>1147.9499999999998</v>
      </c>
      <c r="N21">
        <v>6</v>
      </c>
      <c r="O21">
        <v>7.52</v>
      </c>
      <c r="P21">
        <v>63.74</v>
      </c>
      <c r="Q21" s="55" t="s">
        <v>22</v>
      </c>
    </row>
    <row r="22" spans="1:17" x14ac:dyDescent="0.35">
      <c r="A22">
        <v>4</v>
      </c>
      <c r="B22">
        <v>9.86</v>
      </c>
      <c r="C22">
        <v>72.349999999999994</v>
      </c>
      <c r="D22" s="55" t="s">
        <v>10</v>
      </c>
      <c r="H22" s="60">
        <v>21</v>
      </c>
      <c r="I22" s="59">
        <v>10</v>
      </c>
      <c r="J22" s="60">
        <f>SUM(C163:C172)</f>
        <v>573.63</v>
      </c>
      <c r="K22" s="56">
        <v>0</v>
      </c>
      <c r="L22" s="56">
        <f t="shared" si="0"/>
        <v>573.63</v>
      </c>
      <c r="N22">
        <v>6</v>
      </c>
      <c r="O22">
        <v>8.98</v>
      </c>
      <c r="P22">
        <v>72.540000000000006</v>
      </c>
      <c r="Q22" s="55" t="s">
        <v>22</v>
      </c>
    </row>
    <row r="23" spans="1:17" x14ac:dyDescent="0.35">
      <c r="A23">
        <v>4</v>
      </c>
      <c r="B23">
        <v>5.83</v>
      </c>
      <c r="C23">
        <v>56.59</v>
      </c>
      <c r="D23" s="55" t="s">
        <v>10</v>
      </c>
      <c r="H23" s="61">
        <v>22</v>
      </c>
      <c r="I23" s="59">
        <v>15</v>
      </c>
      <c r="J23" s="61">
        <f>SUM(C173:C182)</f>
        <v>743.33</v>
      </c>
      <c r="K23" s="57">
        <f>SUM(P87:P91)</f>
        <v>291.37</v>
      </c>
      <c r="L23" s="57">
        <f t="shared" si="0"/>
        <v>1034.7</v>
      </c>
      <c r="N23">
        <v>6</v>
      </c>
      <c r="O23">
        <v>4.78</v>
      </c>
      <c r="P23">
        <v>62.92</v>
      </c>
      <c r="Q23" s="55" t="s">
        <v>22</v>
      </c>
    </row>
    <row r="24" spans="1:17" x14ac:dyDescent="0.35">
      <c r="A24">
        <v>4</v>
      </c>
      <c r="B24">
        <v>10.4</v>
      </c>
      <c r="C24">
        <v>103.09</v>
      </c>
      <c r="D24" s="55" t="s">
        <v>10</v>
      </c>
      <c r="H24" s="60">
        <v>23</v>
      </c>
      <c r="I24" s="59">
        <v>15</v>
      </c>
      <c r="J24" s="60">
        <f>SUM(C183:C189)</f>
        <v>415.29999999999995</v>
      </c>
      <c r="K24" s="56">
        <f>SUM(P92:P99)</f>
        <v>418.84</v>
      </c>
      <c r="L24" s="56">
        <f t="shared" si="0"/>
        <v>834.13999999999987</v>
      </c>
      <c r="N24">
        <v>7</v>
      </c>
      <c r="O24">
        <v>8.9600000000000009</v>
      </c>
      <c r="P24">
        <v>79.349999999999994</v>
      </c>
      <c r="Q24" s="55" t="s">
        <v>22</v>
      </c>
    </row>
    <row r="25" spans="1:17" x14ac:dyDescent="0.35">
      <c r="A25">
        <v>5</v>
      </c>
      <c r="B25">
        <v>1.5</v>
      </c>
      <c r="C25">
        <v>22.81</v>
      </c>
      <c r="D25" s="55" t="s">
        <v>10</v>
      </c>
      <c r="H25" s="61">
        <v>24</v>
      </c>
      <c r="I25" s="59">
        <v>24</v>
      </c>
      <c r="J25" s="61">
        <f>SUM(C190:C203)</f>
        <v>878.62000000000012</v>
      </c>
      <c r="K25" s="57">
        <f>SUM(P100:P109)</f>
        <v>631.71</v>
      </c>
      <c r="L25" s="57">
        <f t="shared" si="0"/>
        <v>1510.3300000000002</v>
      </c>
      <c r="N25">
        <v>7</v>
      </c>
      <c r="O25">
        <v>6.43</v>
      </c>
      <c r="P25">
        <v>54.95</v>
      </c>
      <c r="Q25" s="55" t="s">
        <v>22</v>
      </c>
    </row>
    <row r="26" spans="1:17" x14ac:dyDescent="0.35">
      <c r="A26">
        <v>5</v>
      </c>
      <c r="B26">
        <v>7.29</v>
      </c>
      <c r="C26">
        <v>36.71</v>
      </c>
      <c r="D26" s="55" t="s">
        <v>10</v>
      </c>
      <c r="H26" s="60">
        <v>25</v>
      </c>
      <c r="I26" s="59">
        <v>23</v>
      </c>
      <c r="J26" s="60">
        <f>SUM(C204:C221)</f>
        <v>1028.4100000000001</v>
      </c>
      <c r="K26" s="56">
        <f>SUM(P110:P114)</f>
        <v>368.73999999999995</v>
      </c>
      <c r="L26" s="56">
        <f t="shared" si="0"/>
        <v>1397.15</v>
      </c>
      <c r="N26">
        <v>7</v>
      </c>
      <c r="O26">
        <v>4.4400000000000004</v>
      </c>
      <c r="P26">
        <v>76.47</v>
      </c>
      <c r="Q26" s="55" t="s">
        <v>22</v>
      </c>
    </row>
    <row r="27" spans="1:17" x14ac:dyDescent="0.35">
      <c r="A27">
        <v>5</v>
      </c>
      <c r="B27">
        <v>8.68</v>
      </c>
      <c r="C27">
        <v>87.01</v>
      </c>
      <c r="D27" s="55" t="s">
        <v>10</v>
      </c>
      <c r="H27" s="61">
        <v>26</v>
      </c>
      <c r="I27" s="59">
        <v>21</v>
      </c>
      <c r="J27" s="61">
        <f>SUM(C222:C232)</f>
        <v>719.24</v>
      </c>
      <c r="K27" s="57">
        <f>SUM(P115:P124)</f>
        <v>619.51</v>
      </c>
      <c r="L27" s="57">
        <f t="shared" si="0"/>
        <v>1338.75</v>
      </c>
      <c r="N27">
        <v>7</v>
      </c>
      <c r="O27">
        <v>5.36</v>
      </c>
      <c r="P27">
        <v>66.86</v>
      </c>
      <c r="Q27" s="55" t="s">
        <v>22</v>
      </c>
    </row>
    <row r="28" spans="1:17" x14ac:dyDescent="0.35">
      <c r="A28">
        <v>5</v>
      </c>
      <c r="B28">
        <v>6.85</v>
      </c>
      <c r="C28">
        <v>54.74</v>
      </c>
      <c r="D28" s="55" t="s">
        <v>10</v>
      </c>
      <c r="H28" s="60">
        <v>27</v>
      </c>
      <c r="I28" s="59">
        <v>17</v>
      </c>
      <c r="J28" s="60">
        <f>SUM(C233:C242)</f>
        <v>570.92999999999995</v>
      </c>
      <c r="K28" s="56">
        <f>SUM(P125:P131)</f>
        <v>364.6</v>
      </c>
      <c r="L28" s="56">
        <f t="shared" si="0"/>
        <v>935.53</v>
      </c>
      <c r="N28">
        <v>7</v>
      </c>
      <c r="O28">
        <v>7.75</v>
      </c>
      <c r="P28">
        <v>54.28</v>
      </c>
      <c r="Q28" s="55" t="s">
        <v>22</v>
      </c>
    </row>
    <row r="29" spans="1:17" x14ac:dyDescent="0.35">
      <c r="A29">
        <v>5</v>
      </c>
      <c r="B29">
        <v>7.66</v>
      </c>
      <c r="C29">
        <v>69.099999999999994</v>
      </c>
      <c r="D29" s="55" t="s">
        <v>10</v>
      </c>
      <c r="H29" s="61">
        <v>28</v>
      </c>
      <c r="I29" s="59">
        <v>17</v>
      </c>
      <c r="J29" s="61">
        <f>SUM(C243:C250)</f>
        <v>481.02</v>
      </c>
      <c r="K29" s="57">
        <f>SUM(P132:P140)</f>
        <v>544.31999999999994</v>
      </c>
      <c r="L29" s="57">
        <f t="shared" si="0"/>
        <v>1025.3399999999999</v>
      </c>
      <c r="N29">
        <v>7</v>
      </c>
      <c r="O29">
        <v>7.91</v>
      </c>
      <c r="P29">
        <v>66.209999999999994</v>
      </c>
      <c r="Q29" s="55" t="s">
        <v>22</v>
      </c>
    </row>
    <row r="30" spans="1:17" x14ac:dyDescent="0.35">
      <c r="A30">
        <v>5</v>
      </c>
      <c r="B30">
        <v>4.24</v>
      </c>
      <c r="C30">
        <v>57.95</v>
      </c>
      <c r="D30" s="55" t="s">
        <v>10</v>
      </c>
      <c r="H30" s="60">
        <v>29</v>
      </c>
      <c r="I30" s="59">
        <v>16</v>
      </c>
      <c r="J30" s="60">
        <f>SUM(C251:C261)</f>
        <v>541.62</v>
      </c>
      <c r="K30" s="56">
        <f>SUM(P141:P145)</f>
        <v>256.71999999999997</v>
      </c>
      <c r="L30" s="56">
        <f t="shared" si="0"/>
        <v>798.33999999999992</v>
      </c>
      <c r="N30">
        <v>7</v>
      </c>
      <c r="O30">
        <v>7.45</v>
      </c>
      <c r="P30">
        <v>57.16</v>
      </c>
      <c r="Q30" s="55" t="s">
        <v>22</v>
      </c>
    </row>
    <row r="31" spans="1:17" x14ac:dyDescent="0.35">
      <c r="A31">
        <v>5</v>
      </c>
      <c r="B31">
        <v>8.52</v>
      </c>
      <c r="C31">
        <v>66.650000000000006</v>
      </c>
      <c r="D31" s="55" t="s">
        <v>10</v>
      </c>
      <c r="H31" s="61">
        <v>30</v>
      </c>
      <c r="I31" s="59">
        <v>18</v>
      </c>
      <c r="J31" s="61">
        <f>SUM(C262:C271)</f>
        <v>519.33000000000004</v>
      </c>
      <c r="K31" s="57">
        <f>SUM(P146:P153)</f>
        <v>481.39</v>
      </c>
      <c r="L31" s="57">
        <f t="shared" si="0"/>
        <v>1000.72</v>
      </c>
      <c r="N31">
        <v>7</v>
      </c>
      <c r="O31">
        <v>9.9499999999999993</v>
      </c>
      <c r="P31">
        <v>80.989999999999995</v>
      </c>
      <c r="Q31" s="55" t="s">
        <v>22</v>
      </c>
    </row>
    <row r="32" spans="1:17" x14ac:dyDescent="0.35">
      <c r="A32">
        <v>5</v>
      </c>
      <c r="B32">
        <v>4.04</v>
      </c>
      <c r="C32">
        <v>51.67</v>
      </c>
      <c r="D32" s="55" t="s">
        <v>10</v>
      </c>
      <c r="H32" s="60">
        <v>31</v>
      </c>
      <c r="I32" s="59">
        <v>19</v>
      </c>
      <c r="J32" s="60">
        <f>SUM(C272:C279)</f>
        <v>525.25000000000011</v>
      </c>
      <c r="K32" s="56">
        <f>SUM(P154:P164)</f>
        <v>589.95999999999992</v>
      </c>
      <c r="L32" s="56">
        <f t="shared" si="0"/>
        <v>1115.21</v>
      </c>
      <c r="N32">
        <v>8</v>
      </c>
      <c r="O32">
        <v>5.64</v>
      </c>
      <c r="P32">
        <v>46.17</v>
      </c>
      <c r="Q32" s="55" t="s">
        <v>22</v>
      </c>
    </row>
    <row r="33" spans="1:17" x14ac:dyDescent="0.35">
      <c r="A33">
        <v>5</v>
      </c>
      <c r="B33">
        <v>6.8</v>
      </c>
      <c r="C33">
        <v>61.9</v>
      </c>
      <c r="D33" s="55" t="s">
        <v>10</v>
      </c>
      <c r="H33" s="61">
        <v>32</v>
      </c>
      <c r="I33" s="59">
        <v>11</v>
      </c>
      <c r="J33" s="61">
        <f>SUM(C280:C290)</f>
        <v>742.91000000000008</v>
      </c>
      <c r="K33" s="57">
        <v>0</v>
      </c>
      <c r="L33" s="57">
        <f t="shared" si="0"/>
        <v>742.91000000000008</v>
      </c>
      <c r="N33">
        <v>8</v>
      </c>
      <c r="O33">
        <v>8.39</v>
      </c>
      <c r="P33">
        <v>89.98</v>
      </c>
      <c r="Q33" s="55" t="s">
        <v>22</v>
      </c>
    </row>
    <row r="34" spans="1:17" x14ac:dyDescent="0.35">
      <c r="A34">
        <v>5</v>
      </c>
      <c r="B34">
        <v>5.73</v>
      </c>
      <c r="C34">
        <v>71.98</v>
      </c>
      <c r="D34" s="55" t="s">
        <v>10</v>
      </c>
      <c r="H34" s="60">
        <v>33</v>
      </c>
      <c r="I34" s="59">
        <v>8</v>
      </c>
      <c r="J34" s="60">
        <f>SUM(C291:C294)</f>
        <v>304.17</v>
      </c>
      <c r="K34" s="56">
        <f>SUM(P165:P168)</f>
        <v>246.23</v>
      </c>
      <c r="L34" s="56">
        <f t="shared" si="0"/>
        <v>550.4</v>
      </c>
      <c r="N34">
        <v>9</v>
      </c>
      <c r="O34">
        <v>5.67</v>
      </c>
      <c r="P34">
        <v>50.27</v>
      </c>
      <c r="Q34" s="55" t="s">
        <v>22</v>
      </c>
    </row>
    <row r="35" spans="1:17" x14ac:dyDescent="0.35">
      <c r="A35">
        <v>6</v>
      </c>
      <c r="B35">
        <v>9.33</v>
      </c>
      <c r="C35">
        <v>70.38</v>
      </c>
      <c r="D35" s="55" t="s">
        <v>10</v>
      </c>
      <c r="H35" s="61">
        <v>34</v>
      </c>
      <c r="I35" s="59">
        <v>14</v>
      </c>
      <c r="J35" s="61">
        <f>SUM(C295:C300)</f>
        <v>299.14999999999998</v>
      </c>
      <c r="K35" s="57">
        <f>SUM(P169:P176)</f>
        <v>463.87</v>
      </c>
      <c r="L35" s="57">
        <f t="shared" si="0"/>
        <v>763.02</v>
      </c>
      <c r="N35">
        <v>9</v>
      </c>
      <c r="O35">
        <v>4.3</v>
      </c>
      <c r="P35">
        <v>50.74</v>
      </c>
      <c r="Q35" s="55" t="s">
        <v>22</v>
      </c>
    </row>
    <row r="36" spans="1:17" x14ac:dyDescent="0.35">
      <c r="A36">
        <v>6</v>
      </c>
      <c r="B36">
        <v>2.5</v>
      </c>
      <c r="C36">
        <v>38.9</v>
      </c>
      <c r="D36" s="55" t="s">
        <v>10</v>
      </c>
      <c r="H36" s="60">
        <v>35</v>
      </c>
      <c r="I36" s="59">
        <v>16</v>
      </c>
      <c r="J36" s="60">
        <f>SUM(C301:C309)</f>
        <v>639.66000000000008</v>
      </c>
      <c r="K36" s="56">
        <f>SUM(P177:P183)</f>
        <v>482.34000000000003</v>
      </c>
      <c r="L36" s="56">
        <f t="shared" si="0"/>
        <v>1122</v>
      </c>
      <c r="N36">
        <v>9</v>
      </c>
      <c r="O36">
        <v>5.47</v>
      </c>
      <c r="P36">
        <v>45.76</v>
      </c>
      <c r="Q36" s="55" t="s">
        <v>22</v>
      </c>
    </row>
    <row r="37" spans="1:17" x14ac:dyDescent="0.35">
      <c r="A37">
        <v>6</v>
      </c>
      <c r="B37">
        <v>1.8</v>
      </c>
      <c r="C37">
        <v>67.260000000000005</v>
      </c>
      <c r="D37" s="55" t="s">
        <v>10</v>
      </c>
      <c r="H37" s="61">
        <v>36</v>
      </c>
      <c r="I37" s="59">
        <v>19</v>
      </c>
      <c r="J37" s="61">
        <f>SUM(C310:C320)</f>
        <v>729.21</v>
      </c>
      <c r="K37" s="57">
        <f>SUM(P184:P191)</f>
        <v>505.64</v>
      </c>
      <c r="L37">
        <f t="shared" si="0"/>
        <v>1234.8499999999999</v>
      </c>
      <c r="N37">
        <v>9</v>
      </c>
      <c r="O37">
        <v>6.5</v>
      </c>
      <c r="P37">
        <v>76.010000000000005</v>
      </c>
      <c r="Q37" s="55" t="s">
        <v>22</v>
      </c>
    </row>
    <row r="38" spans="1:17" x14ac:dyDescent="0.35">
      <c r="A38">
        <v>6</v>
      </c>
      <c r="B38">
        <v>7.33</v>
      </c>
      <c r="C38">
        <v>71.599999999999994</v>
      </c>
      <c r="D38" s="55" t="s">
        <v>10</v>
      </c>
      <c r="H38" s="60">
        <v>37</v>
      </c>
      <c r="I38" s="59">
        <v>8</v>
      </c>
      <c r="J38" s="60">
        <f>SUM(C321:C326)</f>
        <v>338.86</v>
      </c>
      <c r="K38" s="56">
        <f>SUM(P192:P193)</f>
        <v>112.71000000000001</v>
      </c>
      <c r="L38" s="57">
        <f t="shared" si="0"/>
        <v>451.57000000000005</v>
      </c>
      <c r="N38">
        <v>9</v>
      </c>
      <c r="O38">
        <v>9.9600000000000009</v>
      </c>
      <c r="P38">
        <v>50.61</v>
      </c>
      <c r="Q38" s="55" t="s">
        <v>22</v>
      </c>
    </row>
    <row r="39" spans="1:17" x14ac:dyDescent="0.35">
      <c r="A39">
        <v>7</v>
      </c>
      <c r="B39">
        <v>4.0599999999999996</v>
      </c>
      <c r="C39">
        <v>21.98</v>
      </c>
      <c r="D39" s="55" t="s">
        <v>10</v>
      </c>
      <c r="H39" s="61">
        <v>38</v>
      </c>
      <c r="I39" s="59">
        <v>19</v>
      </c>
      <c r="J39" s="61">
        <f>SUM(C327:C335)</f>
        <v>526.25</v>
      </c>
      <c r="K39" s="57">
        <f>SUM(P194:P203)</f>
        <v>568.76</v>
      </c>
      <c r="L39">
        <f t="shared" si="0"/>
        <v>1095.01</v>
      </c>
      <c r="N39">
        <v>10</v>
      </c>
      <c r="O39">
        <v>6.76</v>
      </c>
      <c r="P39">
        <v>37.07</v>
      </c>
      <c r="Q39" s="55" t="s">
        <v>22</v>
      </c>
    </row>
    <row r="40" spans="1:17" x14ac:dyDescent="0.35">
      <c r="A40">
        <v>7</v>
      </c>
      <c r="B40">
        <v>4.3899999999999997</v>
      </c>
      <c r="C40">
        <v>20.170000000000002</v>
      </c>
      <c r="D40" s="55" t="s">
        <v>10</v>
      </c>
      <c r="H40" s="60">
        <v>39</v>
      </c>
      <c r="I40" s="59">
        <v>9</v>
      </c>
      <c r="J40" s="60">
        <f>SUM(C336:C340)</f>
        <v>311.79000000000002</v>
      </c>
      <c r="K40" s="56">
        <f>SUM(P204:P207)</f>
        <v>231.14</v>
      </c>
      <c r="L40" s="57">
        <f t="shared" si="0"/>
        <v>542.93000000000006</v>
      </c>
      <c r="N40">
        <v>10</v>
      </c>
      <c r="O40">
        <v>9.75</v>
      </c>
      <c r="P40">
        <v>51.12</v>
      </c>
      <c r="Q40" s="55" t="s">
        <v>22</v>
      </c>
    </row>
    <row r="41" spans="1:17" x14ac:dyDescent="0.35">
      <c r="A41">
        <v>7</v>
      </c>
      <c r="B41">
        <v>5.66</v>
      </c>
      <c r="C41">
        <v>56.39</v>
      </c>
      <c r="D41" s="55" t="s">
        <v>10</v>
      </c>
      <c r="H41" s="61">
        <v>40</v>
      </c>
      <c r="I41" s="59">
        <v>8</v>
      </c>
      <c r="J41" s="61">
        <f>SUM(C341:C346)</f>
        <v>433.92</v>
      </c>
      <c r="K41" s="57">
        <f>SUM(P208:P209)</f>
        <v>88.13</v>
      </c>
      <c r="L41">
        <f t="shared" si="0"/>
        <v>522.04999999999995</v>
      </c>
      <c r="N41">
        <v>10</v>
      </c>
      <c r="O41">
        <v>7.21</v>
      </c>
      <c r="P41">
        <v>56.66</v>
      </c>
      <c r="Q41" s="55" t="s">
        <v>22</v>
      </c>
    </row>
    <row r="42" spans="1:17" x14ac:dyDescent="0.35">
      <c r="A42">
        <v>7</v>
      </c>
      <c r="B42">
        <v>5.84</v>
      </c>
      <c r="C42">
        <v>40.15</v>
      </c>
      <c r="D42" s="55" t="s">
        <v>10</v>
      </c>
      <c r="H42" s="60">
        <v>41</v>
      </c>
      <c r="I42" s="59">
        <v>11</v>
      </c>
      <c r="J42" s="60">
        <f>SUM(C347:C353)</f>
        <v>547.75</v>
      </c>
      <c r="K42" s="56">
        <f>SUM(P210:P213)</f>
        <v>237.22999999999996</v>
      </c>
      <c r="L42" s="57">
        <f t="shared" si="0"/>
        <v>784.98</v>
      </c>
      <c r="N42">
        <v>10</v>
      </c>
      <c r="O42">
        <v>6.69</v>
      </c>
      <c r="P42">
        <v>57.47</v>
      </c>
      <c r="Q42" s="55" t="s">
        <v>22</v>
      </c>
    </row>
    <row r="43" spans="1:17" x14ac:dyDescent="0.35">
      <c r="A43">
        <v>7</v>
      </c>
      <c r="B43">
        <v>3.9</v>
      </c>
      <c r="C43">
        <v>11.95</v>
      </c>
      <c r="D43" s="55" t="s">
        <v>10</v>
      </c>
      <c r="H43" s="61">
        <v>42</v>
      </c>
      <c r="I43" s="59">
        <v>10</v>
      </c>
      <c r="J43" s="61">
        <f>SUM(C354:C360)</f>
        <v>411.21</v>
      </c>
      <c r="K43" s="57">
        <f>SUM(P214:P216)</f>
        <v>211.31</v>
      </c>
      <c r="L43">
        <f t="shared" si="0"/>
        <v>622.52</v>
      </c>
      <c r="N43">
        <v>10</v>
      </c>
      <c r="O43">
        <v>5.46</v>
      </c>
      <c r="P43">
        <v>21.46</v>
      </c>
      <c r="Q43" s="55" t="s">
        <v>22</v>
      </c>
    </row>
    <row r="44" spans="1:17" x14ac:dyDescent="0.35">
      <c r="A44">
        <v>7</v>
      </c>
      <c r="B44">
        <v>9.5</v>
      </c>
      <c r="C44">
        <v>47.91</v>
      </c>
      <c r="D44" s="55" t="s">
        <v>10</v>
      </c>
      <c r="H44" s="60">
        <v>43</v>
      </c>
      <c r="I44" s="59">
        <v>10</v>
      </c>
      <c r="J44" s="60">
        <f>SUM(C361:C365)</f>
        <v>229.98</v>
      </c>
      <c r="K44" s="56">
        <f>SUM(P217:P221)</f>
        <v>259.49</v>
      </c>
      <c r="L44" s="57">
        <f t="shared" si="0"/>
        <v>489.47</v>
      </c>
      <c r="N44">
        <v>11</v>
      </c>
      <c r="O44">
        <v>6.33</v>
      </c>
      <c r="P44">
        <v>50.62</v>
      </c>
      <c r="Q44" s="55" t="s">
        <v>22</v>
      </c>
    </row>
    <row r="45" spans="1:17" x14ac:dyDescent="0.35">
      <c r="A45">
        <v>7</v>
      </c>
      <c r="B45">
        <v>8.17</v>
      </c>
      <c r="C45">
        <v>65.260000000000005</v>
      </c>
      <c r="D45" s="55" t="s">
        <v>10</v>
      </c>
      <c r="H45" s="61">
        <v>44</v>
      </c>
      <c r="I45" s="59">
        <v>6</v>
      </c>
      <c r="J45" s="61">
        <f>SUM(C366:C369)</f>
        <v>293.58000000000004</v>
      </c>
      <c r="K45" s="57">
        <f>SUM(P222:P223)</f>
        <v>173.57</v>
      </c>
      <c r="L45">
        <f t="shared" si="0"/>
        <v>467.15000000000003</v>
      </c>
      <c r="N45">
        <v>11</v>
      </c>
      <c r="O45">
        <v>6.64</v>
      </c>
      <c r="P45">
        <v>52.51</v>
      </c>
      <c r="Q45" s="55" t="s">
        <v>22</v>
      </c>
    </row>
    <row r="46" spans="1:17" x14ac:dyDescent="0.35">
      <c r="A46">
        <v>7</v>
      </c>
      <c r="B46">
        <v>6.99</v>
      </c>
      <c r="C46">
        <v>57.18</v>
      </c>
      <c r="D46" s="55" t="s">
        <v>10</v>
      </c>
      <c r="H46" s="60">
        <v>45</v>
      </c>
      <c r="I46" s="59">
        <v>4</v>
      </c>
      <c r="J46" s="60">
        <f>SUM(C370:C371)</f>
        <v>132.71</v>
      </c>
      <c r="K46" s="56">
        <f>SUM(P224:P225)</f>
        <v>118.16</v>
      </c>
      <c r="L46" s="57">
        <f t="shared" si="0"/>
        <v>250.87</v>
      </c>
      <c r="N46">
        <v>11</v>
      </c>
      <c r="O46">
        <v>5.46</v>
      </c>
      <c r="P46">
        <v>47.61</v>
      </c>
      <c r="Q46" s="55" t="s">
        <v>22</v>
      </c>
    </row>
    <row r="47" spans="1:17" x14ac:dyDescent="0.35">
      <c r="A47">
        <v>8</v>
      </c>
      <c r="B47">
        <v>9.66</v>
      </c>
      <c r="C47">
        <v>63.34</v>
      </c>
      <c r="D47" s="55" t="s">
        <v>10</v>
      </c>
      <c r="H47" s="61">
        <v>46</v>
      </c>
      <c r="I47" s="59">
        <v>7</v>
      </c>
      <c r="J47" s="61">
        <f>SUM(C372:C376)</f>
        <v>386.59999999999997</v>
      </c>
      <c r="K47" s="57">
        <f>SUM(P226:P227)</f>
        <v>142.07999999999998</v>
      </c>
      <c r="L47">
        <f t="shared" si="0"/>
        <v>528.67999999999995</v>
      </c>
      <c r="N47">
        <v>12</v>
      </c>
      <c r="O47">
        <v>9.07</v>
      </c>
      <c r="P47">
        <v>68.02</v>
      </c>
      <c r="Q47" s="55" t="s">
        <v>22</v>
      </c>
    </row>
    <row r="48" spans="1:17" x14ac:dyDescent="0.35">
      <c r="A48">
        <v>8</v>
      </c>
      <c r="B48">
        <v>6.67</v>
      </c>
      <c r="C48">
        <v>50.18</v>
      </c>
      <c r="D48" s="55" t="s">
        <v>10</v>
      </c>
      <c r="H48" s="60">
        <v>47</v>
      </c>
      <c r="I48" s="59">
        <v>7</v>
      </c>
      <c r="J48" s="60">
        <f>SUM(C377:C378)</f>
        <v>95</v>
      </c>
      <c r="K48" s="56">
        <f>SUM(P228:P232)</f>
        <v>284.71999999999997</v>
      </c>
      <c r="L48" s="57">
        <f t="shared" si="0"/>
        <v>379.71999999999997</v>
      </c>
      <c r="N48">
        <v>12</v>
      </c>
      <c r="O48">
        <v>8.44</v>
      </c>
      <c r="P48">
        <v>68.91</v>
      </c>
      <c r="Q48" s="55" t="s">
        <v>22</v>
      </c>
    </row>
    <row r="49" spans="1:17" x14ac:dyDescent="0.35">
      <c r="A49">
        <v>8</v>
      </c>
      <c r="B49">
        <v>9.25</v>
      </c>
      <c r="C49">
        <v>55.73</v>
      </c>
      <c r="D49" s="55" t="s">
        <v>10</v>
      </c>
      <c r="H49" s="61">
        <v>48</v>
      </c>
      <c r="I49" s="59">
        <v>9</v>
      </c>
      <c r="J49" s="61">
        <f>SUM(C379:C385)</f>
        <v>352.4</v>
      </c>
      <c r="K49" s="57">
        <f>SUM(P233:P234)</f>
        <v>142.58999999999997</v>
      </c>
      <c r="L49">
        <f t="shared" si="0"/>
        <v>494.98999999999995</v>
      </c>
      <c r="N49">
        <v>12</v>
      </c>
      <c r="O49">
        <v>4.5199999999999996</v>
      </c>
      <c r="P49">
        <v>45.92</v>
      </c>
      <c r="Q49" s="55" t="s">
        <v>22</v>
      </c>
    </row>
    <row r="50" spans="1:17" x14ac:dyDescent="0.35">
      <c r="A50">
        <v>8</v>
      </c>
      <c r="B50">
        <v>4.87</v>
      </c>
      <c r="C50">
        <v>53.52</v>
      </c>
      <c r="D50" s="55" t="s">
        <v>10</v>
      </c>
      <c r="H50" s="60">
        <v>49</v>
      </c>
      <c r="I50" s="59">
        <v>5</v>
      </c>
      <c r="J50" s="60">
        <f>SUM(C386:C389)</f>
        <v>207.24</v>
      </c>
      <c r="K50" s="56">
        <v>59.39</v>
      </c>
      <c r="L50" s="57">
        <f t="shared" si="0"/>
        <v>266.63</v>
      </c>
      <c r="N50">
        <v>13</v>
      </c>
      <c r="O50">
        <v>4.08</v>
      </c>
      <c r="P50">
        <v>82.05</v>
      </c>
      <c r="Q50" s="55" t="s">
        <v>22</v>
      </c>
    </row>
    <row r="51" spans="1:17" x14ac:dyDescent="0.35">
      <c r="A51">
        <v>8</v>
      </c>
      <c r="B51">
        <v>9.1999999999999993</v>
      </c>
      <c r="C51">
        <v>73.45</v>
      </c>
      <c r="D51" s="55" t="s">
        <v>10</v>
      </c>
      <c r="H51" s="61">
        <v>50</v>
      </c>
      <c r="I51" s="59">
        <v>5</v>
      </c>
      <c r="J51" s="61">
        <f>SUM(C390:C394)</f>
        <v>254.43999999999997</v>
      </c>
      <c r="K51" s="57">
        <v>0</v>
      </c>
      <c r="L51">
        <f t="shared" si="0"/>
        <v>254.43999999999997</v>
      </c>
      <c r="N51">
        <v>13</v>
      </c>
      <c r="O51">
        <v>7.11</v>
      </c>
      <c r="P51">
        <v>55.07</v>
      </c>
      <c r="Q51" s="55" t="s">
        <v>22</v>
      </c>
    </row>
    <row r="52" spans="1:17" x14ac:dyDescent="0.35">
      <c r="A52">
        <v>8</v>
      </c>
      <c r="B52">
        <v>4.22</v>
      </c>
      <c r="C52">
        <v>52.93</v>
      </c>
      <c r="D52" s="55" t="s">
        <v>10</v>
      </c>
      <c r="H52" s="60">
        <v>51</v>
      </c>
      <c r="I52" s="59">
        <v>8</v>
      </c>
      <c r="J52" s="60">
        <f>SUM(C395:C400)</f>
        <v>392.12</v>
      </c>
      <c r="K52" s="56">
        <f>SUM(P236:P237)</f>
        <v>119.58000000000001</v>
      </c>
      <c r="L52" s="56">
        <f t="shared" si="0"/>
        <v>511.70000000000005</v>
      </c>
      <c r="N52">
        <v>13</v>
      </c>
      <c r="O52">
        <v>8.24</v>
      </c>
      <c r="P52">
        <v>76.959999999999994</v>
      </c>
      <c r="Q52" s="55" t="s">
        <v>22</v>
      </c>
    </row>
    <row r="53" spans="1:17" x14ac:dyDescent="0.35">
      <c r="A53">
        <v>8</v>
      </c>
      <c r="B53">
        <v>4.62</v>
      </c>
      <c r="C53">
        <v>24.61</v>
      </c>
      <c r="D53" s="55" t="s">
        <v>10</v>
      </c>
      <c r="H53" s="61">
        <v>52</v>
      </c>
      <c r="I53" s="59">
        <v>4</v>
      </c>
      <c r="J53" s="61">
        <f>SUM(C401:C403)</f>
        <v>112.91999999999999</v>
      </c>
      <c r="K53">
        <v>55.46</v>
      </c>
      <c r="L53" s="57">
        <f t="shared" si="0"/>
        <v>168.38</v>
      </c>
      <c r="N53">
        <v>13</v>
      </c>
      <c r="O53">
        <v>6.16</v>
      </c>
      <c r="P53">
        <v>70.489999999999995</v>
      </c>
      <c r="Q53" s="55" t="s">
        <v>22</v>
      </c>
    </row>
    <row r="54" spans="1:17" x14ac:dyDescent="0.35">
      <c r="A54">
        <v>9</v>
      </c>
      <c r="B54">
        <v>9.23</v>
      </c>
      <c r="C54">
        <v>82.68</v>
      </c>
      <c r="D54" s="55" t="s">
        <v>10</v>
      </c>
      <c r="H54" s="60">
        <v>53</v>
      </c>
      <c r="I54" s="59">
        <v>2</v>
      </c>
      <c r="J54" s="60">
        <v>99.96</v>
      </c>
      <c r="K54" s="58">
        <v>70.61</v>
      </c>
      <c r="L54" s="56">
        <f t="shared" si="0"/>
        <v>170.57</v>
      </c>
      <c r="N54">
        <v>14</v>
      </c>
      <c r="O54">
        <v>7.18</v>
      </c>
      <c r="P54">
        <v>77.290000000000006</v>
      </c>
      <c r="Q54" s="55" t="s">
        <v>22</v>
      </c>
    </row>
    <row r="55" spans="1:17" x14ac:dyDescent="0.35">
      <c r="A55">
        <v>9</v>
      </c>
      <c r="B55">
        <v>5.68</v>
      </c>
      <c r="C55">
        <v>47.5</v>
      </c>
      <c r="D55" s="55" t="s">
        <v>10</v>
      </c>
      <c r="H55" s="61">
        <v>54</v>
      </c>
      <c r="I55" s="59">
        <v>3</v>
      </c>
      <c r="J55" s="61">
        <f>SUM(C405)</f>
        <v>67.069999999999993</v>
      </c>
      <c r="K55" s="57">
        <f>SUM(P240:P241)</f>
        <v>85.91</v>
      </c>
      <c r="L55" s="57">
        <f t="shared" si="0"/>
        <v>152.97999999999999</v>
      </c>
      <c r="N55">
        <v>14</v>
      </c>
      <c r="O55">
        <v>6.28</v>
      </c>
      <c r="P55">
        <v>58.85</v>
      </c>
      <c r="Q55" s="55" t="s">
        <v>22</v>
      </c>
    </row>
    <row r="56" spans="1:17" x14ac:dyDescent="0.35">
      <c r="A56">
        <v>9</v>
      </c>
      <c r="B56">
        <v>6.7</v>
      </c>
      <c r="C56">
        <v>47.74</v>
      </c>
      <c r="D56" s="55" t="s">
        <v>10</v>
      </c>
      <c r="H56" s="60">
        <v>55</v>
      </c>
      <c r="I56" s="59">
        <v>1</v>
      </c>
      <c r="J56" s="60">
        <v>72.78</v>
      </c>
      <c r="K56" s="56">
        <v>0</v>
      </c>
      <c r="L56" s="56">
        <f t="shared" si="0"/>
        <v>72.78</v>
      </c>
      <c r="N56">
        <v>14</v>
      </c>
      <c r="O56">
        <v>5.15</v>
      </c>
      <c r="P56">
        <v>52.61</v>
      </c>
      <c r="Q56" s="55" t="s">
        <v>22</v>
      </c>
    </row>
    <row r="57" spans="1:17" x14ac:dyDescent="0.35">
      <c r="A57">
        <v>9</v>
      </c>
      <c r="B57">
        <v>4.4400000000000004</v>
      </c>
      <c r="C57">
        <v>34.409999999999997</v>
      </c>
      <c r="D57" s="55" t="s">
        <v>10</v>
      </c>
      <c r="H57" s="61">
        <v>56</v>
      </c>
      <c r="I57" s="59">
        <v>1</v>
      </c>
      <c r="J57" s="61">
        <f>67.02</f>
        <v>67.02</v>
      </c>
      <c r="K57" s="57">
        <v>0</v>
      </c>
      <c r="L57" s="57">
        <f t="shared" si="0"/>
        <v>67.02</v>
      </c>
      <c r="N57">
        <v>14</v>
      </c>
      <c r="O57">
        <v>7.95</v>
      </c>
      <c r="P57">
        <v>85.03</v>
      </c>
      <c r="Q57" s="55" t="s">
        <v>22</v>
      </c>
    </row>
    <row r="58" spans="1:17" x14ac:dyDescent="0.35">
      <c r="A58">
        <v>9</v>
      </c>
      <c r="B58">
        <v>9.57</v>
      </c>
      <c r="C58">
        <v>80.03</v>
      </c>
      <c r="D58" s="55" t="s">
        <v>10</v>
      </c>
      <c r="H58" s="60">
        <v>57</v>
      </c>
      <c r="I58" s="59">
        <v>4</v>
      </c>
      <c r="J58" s="60">
        <f>SUM(C408:C411)</f>
        <v>196.31</v>
      </c>
      <c r="K58" s="56">
        <v>0</v>
      </c>
      <c r="L58" s="56">
        <f t="shared" si="0"/>
        <v>196.31</v>
      </c>
      <c r="N58">
        <v>15</v>
      </c>
      <c r="O58">
        <v>4.1399999999999997</v>
      </c>
      <c r="P58">
        <v>35.78</v>
      </c>
      <c r="Q58" s="55" t="s">
        <v>22</v>
      </c>
    </row>
    <row r="59" spans="1:17" x14ac:dyDescent="0.35">
      <c r="A59">
        <v>9</v>
      </c>
      <c r="B59">
        <v>6.81</v>
      </c>
      <c r="C59">
        <v>70.040000000000006</v>
      </c>
      <c r="D59" s="55" t="s">
        <v>10</v>
      </c>
      <c r="H59" s="61">
        <v>58</v>
      </c>
      <c r="I59" s="59">
        <v>1</v>
      </c>
      <c r="J59" s="61">
        <v>0</v>
      </c>
      <c r="K59" s="57">
        <f>SUM(P242)</f>
        <v>53.2</v>
      </c>
      <c r="L59" s="57">
        <f t="shared" si="0"/>
        <v>53.2</v>
      </c>
      <c r="N59">
        <v>15</v>
      </c>
      <c r="O59">
        <v>9.98</v>
      </c>
      <c r="P59">
        <v>83.73</v>
      </c>
      <c r="Q59" s="55" t="s">
        <v>22</v>
      </c>
    </row>
    <row r="60" spans="1:17" x14ac:dyDescent="0.35">
      <c r="A60">
        <v>9</v>
      </c>
      <c r="B60">
        <v>4.46</v>
      </c>
      <c r="C60">
        <v>30.81</v>
      </c>
      <c r="D60" s="55" t="s">
        <v>10</v>
      </c>
      <c r="H60" s="60">
        <v>59</v>
      </c>
      <c r="I60" s="59">
        <v>1</v>
      </c>
      <c r="J60" s="60">
        <v>0</v>
      </c>
      <c r="K60" s="56">
        <f>SUM(P243)</f>
        <v>42.33</v>
      </c>
      <c r="L60" s="56">
        <f t="shared" si="0"/>
        <v>42.33</v>
      </c>
      <c r="N60">
        <v>15</v>
      </c>
      <c r="O60">
        <v>9.59</v>
      </c>
      <c r="P60">
        <v>71.150000000000006</v>
      </c>
      <c r="Q60" s="55" t="s">
        <v>22</v>
      </c>
    </row>
    <row r="61" spans="1:17" x14ac:dyDescent="0.35">
      <c r="A61">
        <v>9</v>
      </c>
      <c r="B61">
        <v>8.1199999999999992</v>
      </c>
      <c r="C61">
        <v>89.07</v>
      </c>
      <c r="D61" s="55" t="s">
        <v>10</v>
      </c>
      <c r="H61" s="61">
        <v>60</v>
      </c>
      <c r="I61" s="59">
        <v>1</v>
      </c>
      <c r="J61" s="61">
        <v>0</v>
      </c>
      <c r="K61">
        <v>46.24</v>
      </c>
      <c r="L61" s="57">
        <f t="shared" si="0"/>
        <v>46.24</v>
      </c>
      <c r="N61">
        <v>16</v>
      </c>
      <c r="O61">
        <v>5.22</v>
      </c>
      <c r="P61">
        <v>48.26</v>
      </c>
      <c r="Q61" s="55" t="s">
        <v>22</v>
      </c>
    </row>
    <row r="62" spans="1:17" x14ac:dyDescent="0.35">
      <c r="A62">
        <v>9</v>
      </c>
      <c r="B62">
        <v>2.1</v>
      </c>
      <c r="C62">
        <v>22.59</v>
      </c>
      <c r="D62" s="55" t="s">
        <v>10</v>
      </c>
      <c r="H62" s="60">
        <v>62</v>
      </c>
      <c r="I62" s="59">
        <v>1</v>
      </c>
      <c r="J62" s="60">
        <v>0</v>
      </c>
      <c r="K62" s="58">
        <v>77.400000000000006</v>
      </c>
      <c r="L62" s="56">
        <f t="shared" si="0"/>
        <v>77.400000000000006</v>
      </c>
      <c r="N62">
        <v>16</v>
      </c>
      <c r="O62">
        <v>9.15</v>
      </c>
      <c r="P62">
        <v>69.040000000000006</v>
      </c>
      <c r="Q62" s="55" t="s">
        <v>22</v>
      </c>
    </row>
    <row r="63" spans="1:17" x14ac:dyDescent="0.35">
      <c r="A63">
        <v>9</v>
      </c>
      <c r="B63">
        <v>3.5</v>
      </c>
      <c r="C63">
        <v>51.98</v>
      </c>
      <c r="D63" s="55" t="s">
        <v>10</v>
      </c>
      <c r="H63" s="61">
        <v>63</v>
      </c>
      <c r="I63" s="59">
        <v>1</v>
      </c>
      <c r="J63" s="61">
        <v>0</v>
      </c>
      <c r="K63">
        <v>39.17</v>
      </c>
      <c r="L63" s="57">
        <f t="shared" si="0"/>
        <v>39.17</v>
      </c>
      <c r="N63">
        <v>16</v>
      </c>
      <c r="O63">
        <v>8.2899999999999991</v>
      </c>
      <c r="P63">
        <v>115.29</v>
      </c>
      <c r="Q63" s="55" t="s">
        <v>22</v>
      </c>
    </row>
    <row r="64" spans="1:17" x14ac:dyDescent="0.35">
      <c r="A64">
        <v>9</v>
      </c>
      <c r="B64">
        <v>2.2999999999999998</v>
      </c>
      <c r="C64">
        <v>51.99</v>
      </c>
      <c r="D64" s="55" t="s">
        <v>10</v>
      </c>
      <c r="H64" s="60">
        <v>64</v>
      </c>
      <c r="I64" s="59">
        <v>1</v>
      </c>
      <c r="J64" s="60">
        <v>89.18</v>
      </c>
      <c r="K64" s="56">
        <v>0</v>
      </c>
      <c r="L64" s="56">
        <f t="shared" si="0"/>
        <v>89.18</v>
      </c>
      <c r="N64">
        <v>16</v>
      </c>
      <c r="O64">
        <v>9.65</v>
      </c>
      <c r="P64">
        <v>53.41</v>
      </c>
      <c r="Q64" s="55" t="s">
        <v>22</v>
      </c>
    </row>
    <row r="65" spans="1:17" x14ac:dyDescent="0.35">
      <c r="A65">
        <v>10</v>
      </c>
      <c r="B65">
        <v>6.95</v>
      </c>
      <c r="C65">
        <v>87.42</v>
      </c>
      <c r="D65" s="55" t="s">
        <v>10</v>
      </c>
      <c r="H65" s="61">
        <v>67</v>
      </c>
      <c r="I65" s="59">
        <v>2</v>
      </c>
      <c r="J65" s="61">
        <v>0</v>
      </c>
      <c r="K65" s="57">
        <f>SUM(P247:P248)</f>
        <v>108.39</v>
      </c>
      <c r="L65" s="57">
        <f t="shared" si="0"/>
        <v>108.39</v>
      </c>
      <c r="N65">
        <v>16</v>
      </c>
      <c r="O65">
        <v>4.34</v>
      </c>
      <c r="P65">
        <v>35.799999999999997</v>
      </c>
      <c r="Q65" s="55" t="s">
        <v>22</v>
      </c>
    </row>
    <row r="66" spans="1:17" x14ac:dyDescent="0.35">
      <c r="A66">
        <v>10</v>
      </c>
      <c r="B66">
        <v>4.8</v>
      </c>
      <c r="C66">
        <v>29.99</v>
      </c>
      <c r="D66" s="55" t="s">
        <v>10</v>
      </c>
      <c r="H66" s="60">
        <v>68</v>
      </c>
      <c r="I66" s="59">
        <v>1</v>
      </c>
      <c r="J66" s="60">
        <v>23.31</v>
      </c>
      <c r="K66" s="56">
        <v>0</v>
      </c>
      <c r="L66" s="56">
        <f t="shared" si="0"/>
        <v>23.31</v>
      </c>
      <c r="N66">
        <v>16</v>
      </c>
      <c r="O66">
        <v>5.91</v>
      </c>
      <c r="P66">
        <v>56.36</v>
      </c>
      <c r="Q66" s="55" t="s">
        <v>22</v>
      </c>
    </row>
    <row r="67" spans="1:17" x14ac:dyDescent="0.35">
      <c r="A67">
        <v>10</v>
      </c>
      <c r="B67">
        <v>7.27</v>
      </c>
      <c r="C67">
        <v>62.96</v>
      </c>
      <c r="D67" s="55" t="s">
        <v>10</v>
      </c>
      <c r="H67" s="61">
        <v>74</v>
      </c>
      <c r="I67" s="59">
        <v>1</v>
      </c>
      <c r="J67" s="61">
        <v>54.63</v>
      </c>
      <c r="K67" s="57">
        <v>0</v>
      </c>
      <c r="L67" s="57">
        <f t="shared" si="0"/>
        <v>54.63</v>
      </c>
      <c r="N67">
        <v>17</v>
      </c>
      <c r="O67">
        <v>9.0500000000000007</v>
      </c>
      <c r="P67">
        <v>29.32</v>
      </c>
      <c r="Q67" s="55" t="s">
        <v>22</v>
      </c>
    </row>
    <row r="68" spans="1:17" x14ac:dyDescent="0.35">
      <c r="A68">
        <v>10</v>
      </c>
      <c r="B68">
        <v>8.02</v>
      </c>
      <c r="C68">
        <v>79.25</v>
      </c>
      <c r="D68" s="55" t="s">
        <v>10</v>
      </c>
      <c r="N68">
        <v>17</v>
      </c>
      <c r="O68">
        <v>5.35</v>
      </c>
      <c r="P68">
        <v>40.880000000000003</v>
      </c>
      <c r="Q68" s="55" t="s">
        <v>22</v>
      </c>
    </row>
    <row r="69" spans="1:17" x14ac:dyDescent="0.35">
      <c r="A69">
        <v>10</v>
      </c>
      <c r="B69">
        <v>4.26</v>
      </c>
      <c r="C69">
        <v>43.55</v>
      </c>
      <c r="D69" s="55" t="s">
        <v>10</v>
      </c>
      <c r="N69">
        <v>17</v>
      </c>
      <c r="O69">
        <v>6.06</v>
      </c>
      <c r="P69">
        <v>55.41</v>
      </c>
      <c r="Q69" s="55" t="s">
        <v>22</v>
      </c>
    </row>
    <row r="70" spans="1:17" x14ac:dyDescent="0.35">
      <c r="A70">
        <v>10</v>
      </c>
      <c r="B70">
        <v>5.93</v>
      </c>
      <c r="C70">
        <v>44.95</v>
      </c>
      <c r="D70" s="55" t="s">
        <v>10</v>
      </c>
      <c r="N70">
        <v>18</v>
      </c>
      <c r="O70">
        <v>5.66</v>
      </c>
      <c r="P70">
        <v>48.8</v>
      </c>
      <c r="Q70" s="55" t="s">
        <v>22</v>
      </c>
    </row>
    <row r="71" spans="1:17" x14ac:dyDescent="0.35">
      <c r="A71">
        <v>10</v>
      </c>
      <c r="B71">
        <v>5.65</v>
      </c>
      <c r="C71">
        <v>20.309999999999999</v>
      </c>
      <c r="D71" s="55" t="s">
        <v>10</v>
      </c>
      <c r="N71">
        <v>18</v>
      </c>
      <c r="O71">
        <v>9.1999999999999993</v>
      </c>
      <c r="P71">
        <v>76.39</v>
      </c>
      <c r="Q71" s="55" t="s">
        <v>22</v>
      </c>
    </row>
    <row r="72" spans="1:17" x14ac:dyDescent="0.35">
      <c r="A72">
        <v>10</v>
      </c>
      <c r="B72">
        <v>6.96</v>
      </c>
      <c r="C72">
        <v>47.98</v>
      </c>
      <c r="D72" s="55" t="s">
        <v>10</v>
      </c>
      <c r="N72">
        <v>18</v>
      </c>
      <c r="O72">
        <v>8.1</v>
      </c>
      <c r="P72">
        <v>77.16</v>
      </c>
      <c r="Q72" s="55" t="s">
        <v>22</v>
      </c>
    </row>
    <row r="73" spans="1:17" x14ac:dyDescent="0.35">
      <c r="A73">
        <v>10</v>
      </c>
      <c r="B73">
        <v>9.85</v>
      </c>
      <c r="C73">
        <v>42.98</v>
      </c>
      <c r="D73" s="55" t="s">
        <v>10</v>
      </c>
      <c r="N73">
        <v>18</v>
      </c>
      <c r="O73">
        <v>6.06</v>
      </c>
      <c r="P73">
        <v>52.84</v>
      </c>
      <c r="Q73" s="55" t="s">
        <v>22</v>
      </c>
    </row>
    <row r="74" spans="1:17" x14ac:dyDescent="0.35">
      <c r="A74">
        <v>10</v>
      </c>
      <c r="B74">
        <v>11.6</v>
      </c>
      <c r="C74">
        <v>64.5</v>
      </c>
      <c r="D74" s="55" t="s">
        <v>10</v>
      </c>
      <c r="N74">
        <v>18</v>
      </c>
      <c r="O74">
        <v>9.99</v>
      </c>
      <c r="P74">
        <v>75.739999999999995</v>
      </c>
      <c r="Q74" s="55" t="s">
        <v>22</v>
      </c>
    </row>
    <row r="75" spans="1:17" x14ac:dyDescent="0.35">
      <c r="A75">
        <v>11</v>
      </c>
      <c r="B75">
        <v>8.19</v>
      </c>
      <c r="C75">
        <v>77.39</v>
      </c>
      <c r="D75" s="55" t="s">
        <v>10</v>
      </c>
      <c r="N75">
        <v>18</v>
      </c>
      <c r="O75">
        <v>7.54</v>
      </c>
      <c r="P75">
        <v>75.03</v>
      </c>
      <c r="Q75" s="55" t="s">
        <v>22</v>
      </c>
    </row>
    <row r="76" spans="1:17" x14ac:dyDescent="0.35">
      <c r="A76">
        <v>11</v>
      </c>
      <c r="B76">
        <v>3.5</v>
      </c>
      <c r="C76">
        <v>22.47</v>
      </c>
      <c r="D76" s="55" t="s">
        <v>10</v>
      </c>
      <c r="N76">
        <v>18</v>
      </c>
      <c r="O76">
        <v>8.39</v>
      </c>
      <c r="P76">
        <v>72.72</v>
      </c>
      <c r="Q76" s="55" t="s">
        <v>22</v>
      </c>
    </row>
    <row r="77" spans="1:17" x14ac:dyDescent="0.35">
      <c r="A77">
        <v>12</v>
      </c>
      <c r="B77">
        <v>2.4</v>
      </c>
      <c r="C77">
        <v>31.1</v>
      </c>
      <c r="D77" s="55" t="s">
        <v>10</v>
      </c>
      <c r="N77">
        <v>18</v>
      </c>
      <c r="O77">
        <v>4.3</v>
      </c>
      <c r="P77">
        <v>52.51</v>
      </c>
      <c r="Q77" s="55" t="s">
        <v>22</v>
      </c>
    </row>
    <row r="78" spans="1:17" x14ac:dyDescent="0.35">
      <c r="A78">
        <v>12</v>
      </c>
      <c r="B78">
        <v>5.61</v>
      </c>
      <c r="C78">
        <v>83.08</v>
      </c>
      <c r="D78" s="55" t="s">
        <v>10</v>
      </c>
      <c r="N78">
        <v>19</v>
      </c>
      <c r="O78">
        <v>6.57</v>
      </c>
      <c r="P78">
        <v>64.61</v>
      </c>
      <c r="Q78" s="55" t="s">
        <v>22</v>
      </c>
    </row>
    <row r="79" spans="1:17" x14ac:dyDescent="0.35">
      <c r="A79">
        <v>12</v>
      </c>
      <c r="B79">
        <v>6.96</v>
      </c>
      <c r="C79">
        <v>61.19</v>
      </c>
      <c r="D79" s="55" t="s">
        <v>10</v>
      </c>
      <c r="N79">
        <v>19</v>
      </c>
      <c r="O79">
        <v>7.59</v>
      </c>
      <c r="P79">
        <v>58.01</v>
      </c>
      <c r="Q79" s="55" t="s">
        <v>22</v>
      </c>
    </row>
    <row r="80" spans="1:17" x14ac:dyDescent="0.35">
      <c r="A80">
        <v>12</v>
      </c>
      <c r="B80">
        <v>3.9</v>
      </c>
      <c r="C80">
        <v>50.93</v>
      </c>
      <c r="D80" s="55" t="s">
        <v>10</v>
      </c>
      <c r="N80">
        <v>19</v>
      </c>
      <c r="O80">
        <v>5.0999999999999996</v>
      </c>
      <c r="P80">
        <v>47.22</v>
      </c>
      <c r="Q80" s="55" t="s">
        <v>22</v>
      </c>
    </row>
    <row r="81" spans="1:17" x14ac:dyDescent="0.35">
      <c r="A81">
        <v>12</v>
      </c>
      <c r="B81">
        <v>3.7</v>
      </c>
      <c r="C81">
        <v>34.53</v>
      </c>
      <c r="D81" s="55" t="s">
        <v>10</v>
      </c>
      <c r="N81">
        <v>20</v>
      </c>
      <c r="O81">
        <v>9.0299999999999994</v>
      </c>
      <c r="P81">
        <v>68.260000000000005</v>
      </c>
      <c r="Q81" s="55" t="s">
        <v>22</v>
      </c>
    </row>
    <row r="82" spans="1:17" x14ac:dyDescent="0.35">
      <c r="A82">
        <v>13</v>
      </c>
      <c r="B82">
        <v>7.88</v>
      </c>
      <c r="C82">
        <v>67.95</v>
      </c>
      <c r="D82" s="55" t="s">
        <v>10</v>
      </c>
      <c r="N82">
        <v>20</v>
      </c>
      <c r="O82">
        <v>8.31</v>
      </c>
      <c r="P82">
        <v>64.02</v>
      </c>
      <c r="Q82" s="55" t="s">
        <v>22</v>
      </c>
    </row>
    <row r="83" spans="1:17" x14ac:dyDescent="0.35">
      <c r="A83">
        <v>13</v>
      </c>
      <c r="B83">
        <v>4.7699999999999996</v>
      </c>
      <c r="C83">
        <v>43.81</v>
      </c>
      <c r="D83" s="55" t="s">
        <v>10</v>
      </c>
      <c r="N83">
        <v>20</v>
      </c>
      <c r="O83">
        <v>7.36</v>
      </c>
      <c r="P83">
        <v>80.430000000000007</v>
      </c>
      <c r="Q83" s="55" t="s">
        <v>22</v>
      </c>
    </row>
    <row r="84" spans="1:17" x14ac:dyDescent="0.35">
      <c r="A84">
        <v>13</v>
      </c>
      <c r="B84">
        <v>5.2</v>
      </c>
      <c r="C84">
        <v>37.39</v>
      </c>
      <c r="D84" s="55" t="s">
        <v>10</v>
      </c>
      <c r="N84">
        <v>20</v>
      </c>
      <c r="O84">
        <v>6.41</v>
      </c>
      <c r="P84">
        <v>45.66</v>
      </c>
      <c r="Q84" s="55" t="s">
        <v>22</v>
      </c>
    </row>
    <row r="85" spans="1:17" x14ac:dyDescent="0.35">
      <c r="A85">
        <v>13</v>
      </c>
      <c r="B85">
        <v>2.2999999999999998</v>
      </c>
      <c r="C85">
        <v>14</v>
      </c>
      <c r="D85" s="55" t="s">
        <v>10</v>
      </c>
      <c r="N85">
        <v>20</v>
      </c>
      <c r="O85">
        <v>5.93</v>
      </c>
      <c r="P85">
        <v>53.41</v>
      </c>
      <c r="Q85" s="55" t="s">
        <v>22</v>
      </c>
    </row>
    <row r="86" spans="1:17" x14ac:dyDescent="0.35">
      <c r="A86">
        <v>13</v>
      </c>
      <c r="B86">
        <v>10.6</v>
      </c>
      <c r="C86">
        <v>51.82</v>
      </c>
      <c r="D86" s="55" t="s">
        <v>10</v>
      </c>
      <c r="N86">
        <v>20</v>
      </c>
      <c r="O86">
        <v>7.31</v>
      </c>
      <c r="P86">
        <v>57.02</v>
      </c>
      <c r="Q86" s="55" t="s">
        <v>22</v>
      </c>
    </row>
    <row r="87" spans="1:17" x14ac:dyDescent="0.35">
      <c r="A87">
        <v>13</v>
      </c>
      <c r="B87">
        <v>5.42</v>
      </c>
      <c r="C87">
        <v>35.58</v>
      </c>
      <c r="D87" s="55" t="s">
        <v>10</v>
      </c>
      <c r="N87">
        <v>22</v>
      </c>
      <c r="O87">
        <v>8.7200000000000006</v>
      </c>
      <c r="P87">
        <v>68.069999999999993</v>
      </c>
      <c r="Q87" s="55" t="s">
        <v>22</v>
      </c>
    </row>
    <row r="88" spans="1:17" x14ac:dyDescent="0.35">
      <c r="A88">
        <v>13</v>
      </c>
      <c r="B88">
        <v>5.67</v>
      </c>
      <c r="C88">
        <v>61.28</v>
      </c>
      <c r="D88" s="55" t="s">
        <v>10</v>
      </c>
      <c r="N88">
        <v>22</v>
      </c>
      <c r="O88">
        <v>5.7</v>
      </c>
      <c r="P88">
        <v>49.24</v>
      </c>
      <c r="Q88" s="55" t="s">
        <v>22</v>
      </c>
    </row>
    <row r="89" spans="1:17" x14ac:dyDescent="0.35">
      <c r="A89">
        <v>14</v>
      </c>
      <c r="B89">
        <v>1.5</v>
      </c>
      <c r="C89">
        <v>34.97</v>
      </c>
      <c r="D89" s="55" t="s">
        <v>10</v>
      </c>
      <c r="N89">
        <v>22</v>
      </c>
      <c r="O89">
        <v>4.38</v>
      </c>
      <c r="P89">
        <v>43.95</v>
      </c>
      <c r="Q89" s="55" t="s">
        <v>22</v>
      </c>
    </row>
    <row r="90" spans="1:17" x14ac:dyDescent="0.35">
      <c r="A90">
        <v>14</v>
      </c>
      <c r="B90">
        <v>8.1199999999999992</v>
      </c>
      <c r="C90">
        <v>35.380000000000003</v>
      </c>
      <c r="D90" s="55" t="s">
        <v>10</v>
      </c>
      <c r="N90">
        <v>22</v>
      </c>
      <c r="O90">
        <v>4.1500000000000004</v>
      </c>
      <c r="P90">
        <v>45.83</v>
      </c>
      <c r="Q90" s="55" t="s">
        <v>22</v>
      </c>
    </row>
    <row r="91" spans="1:17" x14ac:dyDescent="0.35">
      <c r="A91">
        <v>14</v>
      </c>
      <c r="B91">
        <v>9.3800000000000008</v>
      </c>
      <c r="C91">
        <v>79.900000000000006</v>
      </c>
      <c r="D91" s="55" t="s">
        <v>10</v>
      </c>
      <c r="N91">
        <v>22</v>
      </c>
      <c r="O91">
        <v>9.8699999999999992</v>
      </c>
      <c r="P91">
        <v>84.28</v>
      </c>
      <c r="Q91" s="55" t="s">
        <v>22</v>
      </c>
    </row>
    <row r="92" spans="1:17" x14ac:dyDescent="0.35">
      <c r="A92">
        <v>14</v>
      </c>
      <c r="B92">
        <v>7.73</v>
      </c>
      <c r="C92">
        <v>66.22</v>
      </c>
      <c r="D92" s="55" t="s">
        <v>10</v>
      </c>
      <c r="N92">
        <v>23</v>
      </c>
      <c r="O92">
        <v>4.54</v>
      </c>
      <c r="P92">
        <v>21.1</v>
      </c>
      <c r="Q92" s="55" t="s">
        <v>22</v>
      </c>
    </row>
    <row r="93" spans="1:17" x14ac:dyDescent="0.35">
      <c r="A93">
        <v>14</v>
      </c>
      <c r="B93">
        <v>8.6</v>
      </c>
      <c r="C93">
        <v>84.49</v>
      </c>
      <c r="D93" s="55" t="s">
        <v>10</v>
      </c>
      <c r="N93">
        <v>23</v>
      </c>
      <c r="O93">
        <v>6.68</v>
      </c>
      <c r="P93">
        <v>33.049999999999997</v>
      </c>
      <c r="Q93" s="55" t="s">
        <v>22</v>
      </c>
    </row>
    <row r="94" spans="1:17" x14ac:dyDescent="0.35">
      <c r="A94">
        <v>14</v>
      </c>
      <c r="B94">
        <v>6.74</v>
      </c>
      <c r="C94">
        <v>79.67</v>
      </c>
      <c r="D94" s="55" t="s">
        <v>10</v>
      </c>
      <c r="N94">
        <v>23</v>
      </c>
      <c r="O94">
        <v>8.65</v>
      </c>
      <c r="P94">
        <v>88.43</v>
      </c>
      <c r="Q94" s="55" t="s">
        <v>22</v>
      </c>
    </row>
    <row r="95" spans="1:17" x14ac:dyDescent="0.35">
      <c r="A95">
        <v>14</v>
      </c>
      <c r="B95">
        <v>9.69</v>
      </c>
      <c r="C95">
        <v>82.07</v>
      </c>
      <c r="D95" s="55" t="s">
        <v>10</v>
      </c>
      <c r="N95">
        <v>23</v>
      </c>
      <c r="O95">
        <v>8.18</v>
      </c>
      <c r="P95">
        <v>92.48</v>
      </c>
      <c r="Q95" s="55" t="s">
        <v>22</v>
      </c>
    </row>
    <row r="96" spans="1:17" x14ac:dyDescent="0.35">
      <c r="A96">
        <v>14</v>
      </c>
      <c r="B96">
        <v>3.9</v>
      </c>
      <c r="C96">
        <v>27.84</v>
      </c>
      <c r="D96" s="55" t="s">
        <v>10</v>
      </c>
      <c r="N96">
        <v>23</v>
      </c>
      <c r="O96">
        <v>5.41</v>
      </c>
      <c r="P96">
        <v>44.6</v>
      </c>
      <c r="Q96" s="55" t="s">
        <v>22</v>
      </c>
    </row>
    <row r="97" spans="1:17" x14ac:dyDescent="0.35">
      <c r="A97">
        <v>14</v>
      </c>
      <c r="B97">
        <v>5.79</v>
      </c>
      <c r="C97">
        <v>43.41</v>
      </c>
      <c r="D97" s="55" t="s">
        <v>10</v>
      </c>
      <c r="N97">
        <v>23</v>
      </c>
      <c r="O97">
        <v>4.17</v>
      </c>
      <c r="P97">
        <v>39.58</v>
      </c>
      <c r="Q97" s="55" t="s">
        <v>22</v>
      </c>
    </row>
    <row r="98" spans="1:17" x14ac:dyDescent="0.35">
      <c r="A98">
        <v>14</v>
      </c>
      <c r="B98">
        <v>6.27</v>
      </c>
      <c r="C98">
        <v>78.2</v>
      </c>
      <c r="D98" s="55" t="s">
        <v>10</v>
      </c>
      <c r="N98">
        <v>23</v>
      </c>
      <c r="O98">
        <v>4.1500000000000004</v>
      </c>
      <c r="P98">
        <v>49.27</v>
      </c>
      <c r="Q98" s="55" t="s">
        <v>22</v>
      </c>
    </row>
    <row r="99" spans="1:17" x14ac:dyDescent="0.35">
      <c r="A99">
        <v>15</v>
      </c>
      <c r="B99">
        <v>6.65</v>
      </c>
      <c r="C99">
        <v>54.56</v>
      </c>
      <c r="D99" s="55" t="s">
        <v>10</v>
      </c>
      <c r="N99">
        <v>23</v>
      </c>
      <c r="O99">
        <v>4.34</v>
      </c>
      <c r="P99">
        <v>50.33</v>
      </c>
      <c r="Q99" s="55" t="s">
        <v>22</v>
      </c>
    </row>
    <row r="100" spans="1:17" x14ac:dyDescent="0.35">
      <c r="A100">
        <v>15</v>
      </c>
      <c r="B100">
        <v>2.6</v>
      </c>
      <c r="C100">
        <v>9.8000000000000007</v>
      </c>
      <c r="D100" s="55" t="s">
        <v>10</v>
      </c>
      <c r="N100">
        <v>24</v>
      </c>
      <c r="O100">
        <v>8.6</v>
      </c>
      <c r="P100">
        <v>68.48</v>
      </c>
      <c r="Q100" s="55" t="s">
        <v>22</v>
      </c>
    </row>
    <row r="101" spans="1:17" x14ac:dyDescent="0.35">
      <c r="A101">
        <v>15</v>
      </c>
      <c r="B101">
        <v>10.9</v>
      </c>
      <c r="C101">
        <v>77.13</v>
      </c>
      <c r="D101" s="55" t="s">
        <v>10</v>
      </c>
      <c r="N101">
        <v>24</v>
      </c>
      <c r="O101">
        <v>7.9</v>
      </c>
      <c r="P101">
        <v>65.95</v>
      </c>
      <c r="Q101" s="55" t="s">
        <v>22</v>
      </c>
    </row>
    <row r="102" spans="1:17" x14ac:dyDescent="0.35">
      <c r="A102">
        <v>15</v>
      </c>
      <c r="B102">
        <v>12.6</v>
      </c>
      <c r="C102">
        <v>120.86</v>
      </c>
      <c r="D102" s="55" t="s">
        <v>10</v>
      </c>
      <c r="N102">
        <v>24</v>
      </c>
      <c r="O102">
        <v>8.65</v>
      </c>
      <c r="P102">
        <v>79.790000000000006</v>
      </c>
      <c r="Q102" s="55" t="s">
        <v>22</v>
      </c>
    </row>
    <row r="103" spans="1:17" x14ac:dyDescent="0.35">
      <c r="A103">
        <v>15</v>
      </c>
      <c r="B103">
        <v>5.35</v>
      </c>
      <c r="C103">
        <v>43.32</v>
      </c>
      <c r="D103" s="55" t="s">
        <v>10</v>
      </c>
      <c r="N103">
        <v>24</v>
      </c>
      <c r="O103">
        <v>4.67</v>
      </c>
      <c r="P103">
        <v>57.53</v>
      </c>
      <c r="Q103" s="55" t="s">
        <v>22</v>
      </c>
    </row>
    <row r="104" spans="1:17" x14ac:dyDescent="0.35">
      <c r="A104">
        <v>15</v>
      </c>
      <c r="B104">
        <v>9.69</v>
      </c>
      <c r="C104">
        <v>100.72</v>
      </c>
      <c r="D104" s="55" t="s">
        <v>10</v>
      </c>
      <c r="N104">
        <v>24</v>
      </c>
      <c r="O104">
        <v>9.91</v>
      </c>
      <c r="P104">
        <v>62.71</v>
      </c>
      <c r="Q104" s="55" t="s">
        <v>22</v>
      </c>
    </row>
    <row r="105" spans="1:17" x14ac:dyDescent="0.35">
      <c r="A105">
        <v>15</v>
      </c>
      <c r="B105">
        <v>4.96</v>
      </c>
      <c r="C105">
        <v>76.37</v>
      </c>
      <c r="D105" s="55" t="s">
        <v>10</v>
      </c>
      <c r="N105">
        <v>24</v>
      </c>
      <c r="O105">
        <v>4.66</v>
      </c>
      <c r="P105">
        <v>38.69</v>
      </c>
      <c r="Q105" s="55" t="s">
        <v>22</v>
      </c>
    </row>
    <row r="106" spans="1:17" x14ac:dyDescent="0.35">
      <c r="A106">
        <v>15</v>
      </c>
      <c r="B106">
        <v>9.5299999999999994</v>
      </c>
      <c r="C106">
        <v>73.02</v>
      </c>
      <c r="D106" s="55" t="s">
        <v>10</v>
      </c>
      <c r="N106">
        <v>24</v>
      </c>
      <c r="O106">
        <v>9.2799999999999994</v>
      </c>
      <c r="P106">
        <v>76.55</v>
      </c>
      <c r="Q106" s="55" t="s">
        <v>22</v>
      </c>
    </row>
    <row r="107" spans="1:17" x14ac:dyDescent="0.35">
      <c r="A107">
        <v>15</v>
      </c>
      <c r="B107">
        <v>7.42</v>
      </c>
      <c r="C107">
        <v>53.4</v>
      </c>
      <c r="D107" s="55" t="s">
        <v>10</v>
      </c>
      <c r="N107">
        <v>24</v>
      </c>
      <c r="O107">
        <v>4.05</v>
      </c>
      <c r="P107">
        <v>47.74</v>
      </c>
      <c r="Q107" s="55" t="s">
        <v>22</v>
      </c>
    </row>
    <row r="108" spans="1:17" x14ac:dyDescent="0.35">
      <c r="A108">
        <v>15</v>
      </c>
      <c r="B108">
        <v>4.62</v>
      </c>
      <c r="C108">
        <v>65.36</v>
      </c>
      <c r="D108" s="55" t="s">
        <v>10</v>
      </c>
      <c r="N108">
        <v>24</v>
      </c>
      <c r="O108">
        <v>5.0599999999999996</v>
      </c>
      <c r="P108">
        <v>96.03</v>
      </c>
      <c r="Q108" s="55" t="s">
        <v>22</v>
      </c>
    </row>
    <row r="109" spans="1:17" x14ac:dyDescent="0.35">
      <c r="A109">
        <v>15</v>
      </c>
      <c r="B109">
        <v>5.59</v>
      </c>
      <c r="C109">
        <v>68.12</v>
      </c>
      <c r="D109" s="55" t="s">
        <v>10</v>
      </c>
      <c r="N109">
        <v>24</v>
      </c>
      <c r="O109">
        <v>4.4800000000000004</v>
      </c>
      <c r="P109">
        <v>38.24</v>
      </c>
      <c r="Q109" s="55" t="s">
        <v>22</v>
      </c>
    </row>
    <row r="110" spans="1:17" x14ac:dyDescent="0.35">
      <c r="A110">
        <v>15</v>
      </c>
      <c r="B110">
        <v>8.98</v>
      </c>
      <c r="C110">
        <v>47.37</v>
      </c>
      <c r="D110" s="55" t="s">
        <v>10</v>
      </c>
      <c r="N110">
        <v>25</v>
      </c>
      <c r="O110">
        <v>7.98</v>
      </c>
      <c r="P110">
        <v>66.28</v>
      </c>
      <c r="Q110" s="55" t="s">
        <v>22</v>
      </c>
    </row>
    <row r="111" spans="1:17" x14ac:dyDescent="0.35">
      <c r="A111">
        <v>15</v>
      </c>
      <c r="B111">
        <v>9.25</v>
      </c>
      <c r="C111">
        <v>82.31</v>
      </c>
      <c r="D111" s="55" t="s">
        <v>10</v>
      </c>
      <c r="N111">
        <v>25</v>
      </c>
      <c r="O111">
        <v>8.39</v>
      </c>
      <c r="P111">
        <v>56.55</v>
      </c>
      <c r="Q111" s="55" t="s">
        <v>22</v>
      </c>
    </row>
    <row r="112" spans="1:17" x14ac:dyDescent="0.35">
      <c r="A112">
        <v>16</v>
      </c>
      <c r="B112">
        <v>6.49</v>
      </c>
      <c r="C112">
        <v>63.52</v>
      </c>
      <c r="D112" s="55" t="s">
        <v>10</v>
      </c>
      <c r="N112">
        <v>25</v>
      </c>
      <c r="O112">
        <v>9.67</v>
      </c>
      <c r="P112">
        <v>93.01</v>
      </c>
      <c r="Q112" s="55" t="s">
        <v>22</v>
      </c>
    </row>
    <row r="113" spans="1:17" x14ac:dyDescent="0.35">
      <c r="A113">
        <v>16</v>
      </c>
      <c r="B113">
        <v>6.66</v>
      </c>
      <c r="C113">
        <v>55.42</v>
      </c>
      <c r="D113" s="55" t="s">
        <v>10</v>
      </c>
      <c r="N113">
        <v>25</v>
      </c>
      <c r="O113">
        <v>9.77</v>
      </c>
      <c r="P113">
        <v>81.569999999999993</v>
      </c>
      <c r="Q113" s="55" t="s">
        <v>22</v>
      </c>
    </row>
    <row r="114" spans="1:17" x14ac:dyDescent="0.35">
      <c r="A114">
        <v>16</v>
      </c>
      <c r="B114">
        <v>2.8</v>
      </c>
      <c r="C114">
        <v>63</v>
      </c>
      <c r="D114" s="55" t="s">
        <v>10</v>
      </c>
      <c r="N114">
        <v>25</v>
      </c>
      <c r="O114">
        <v>6.16</v>
      </c>
      <c r="P114">
        <v>71.33</v>
      </c>
      <c r="Q114" s="55" t="s">
        <v>22</v>
      </c>
    </row>
    <row r="115" spans="1:17" x14ac:dyDescent="0.35">
      <c r="A115">
        <v>16</v>
      </c>
      <c r="B115">
        <v>9.3800000000000008</v>
      </c>
      <c r="C115">
        <v>90.42</v>
      </c>
      <c r="D115" s="55" t="s">
        <v>10</v>
      </c>
      <c r="N115">
        <v>26</v>
      </c>
      <c r="O115">
        <v>8.6300000000000008</v>
      </c>
      <c r="P115">
        <v>68.959999999999994</v>
      </c>
      <c r="Q115" s="55" t="s">
        <v>22</v>
      </c>
    </row>
    <row r="116" spans="1:17" x14ac:dyDescent="0.35">
      <c r="A116">
        <v>16</v>
      </c>
      <c r="B116">
        <v>9.99</v>
      </c>
      <c r="C116">
        <v>64.83</v>
      </c>
      <c r="D116" s="55" t="s">
        <v>10</v>
      </c>
      <c r="N116">
        <v>26</v>
      </c>
      <c r="O116">
        <v>7.31</v>
      </c>
      <c r="P116">
        <v>62.13</v>
      </c>
      <c r="Q116" s="55" t="s">
        <v>22</v>
      </c>
    </row>
    <row r="117" spans="1:17" x14ac:dyDescent="0.35">
      <c r="A117">
        <v>16</v>
      </c>
      <c r="B117">
        <v>9.0399999999999991</v>
      </c>
      <c r="C117">
        <v>89.08</v>
      </c>
      <c r="D117" s="55" t="s">
        <v>10</v>
      </c>
      <c r="N117">
        <v>26</v>
      </c>
      <c r="O117">
        <v>4.18</v>
      </c>
      <c r="P117">
        <v>8</v>
      </c>
      <c r="Q117" s="55" t="s">
        <v>22</v>
      </c>
    </row>
    <row r="118" spans="1:17" x14ac:dyDescent="0.35">
      <c r="A118">
        <v>16</v>
      </c>
      <c r="B118">
        <v>11.9</v>
      </c>
      <c r="C118">
        <v>79.23</v>
      </c>
      <c r="D118" s="55" t="s">
        <v>10</v>
      </c>
      <c r="N118">
        <v>26</v>
      </c>
      <c r="O118">
        <v>9.2100000000000009</v>
      </c>
      <c r="P118">
        <v>83.15</v>
      </c>
      <c r="Q118" s="55" t="s">
        <v>22</v>
      </c>
    </row>
    <row r="119" spans="1:17" x14ac:dyDescent="0.35">
      <c r="A119">
        <v>16</v>
      </c>
      <c r="B119">
        <v>8.74</v>
      </c>
      <c r="C119">
        <v>83.38</v>
      </c>
      <c r="D119" s="55" t="s">
        <v>10</v>
      </c>
      <c r="N119">
        <v>26</v>
      </c>
      <c r="O119">
        <v>7.37</v>
      </c>
      <c r="P119">
        <v>69.61</v>
      </c>
      <c r="Q119" s="55" t="s">
        <v>22</v>
      </c>
    </row>
    <row r="120" spans="1:17" x14ac:dyDescent="0.35">
      <c r="A120">
        <v>17</v>
      </c>
      <c r="B120">
        <v>5.24</v>
      </c>
      <c r="C120">
        <v>42.46</v>
      </c>
      <c r="D120" s="55" t="s">
        <v>10</v>
      </c>
      <c r="N120">
        <v>26</v>
      </c>
      <c r="O120">
        <v>6.21</v>
      </c>
      <c r="P120">
        <v>65.28</v>
      </c>
      <c r="Q120" s="55" t="s">
        <v>22</v>
      </c>
    </row>
    <row r="121" spans="1:17" x14ac:dyDescent="0.35">
      <c r="A121">
        <v>17</v>
      </c>
      <c r="B121">
        <v>2</v>
      </c>
      <c r="C121">
        <v>29.17</v>
      </c>
      <c r="D121" s="55" t="s">
        <v>10</v>
      </c>
      <c r="N121">
        <v>26</v>
      </c>
      <c r="O121">
        <v>8.14</v>
      </c>
      <c r="P121">
        <v>63.07</v>
      </c>
      <c r="Q121" s="55" t="s">
        <v>22</v>
      </c>
    </row>
    <row r="122" spans="1:17" x14ac:dyDescent="0.35">
      <c r="A122">
        <v>17</v>
      </c>
      <c r="B122">
        <v>5.99</v>
      </c>
      <c r="C122">
        <v>80.13</v>
      </c>
      <c r="D122" s="55" t="s">
        <v>10</v>
      </c>
      <c r="N122">
        <v>26</v>
      </c>
      <c r="O122">
        <v>6.23</v>
      </c>
      <c r="P122">
        <v>53.91</v>
      </c>
      <c r="Q122" s="55" t="s">
        <v>22</v>
      </c>
    </row>
    <row r="123" spans="1:17" x14ac:dyDescent="0.35">
      <c r="A123">
        <v>17</v>
      </c>
      <c r="B123">
        <v>9.1</v>
      </c>
      <c r="C123">
        <v>52.07</v>
      </c>
      <c r="D123" s="55" t="s">
        <v>10</v>
      </c>
      <c r="N123">
        <v>26</v>
      </c>
      <c r="O123">
        <v>5.78</v>
      </c>
      <c r="P123">
        <v>87.4</v>
      </c>
      <c r="Q123" s="55" t="s">
        <v>22</v>
      </c>
    </row>
    <row r="124" spans="1:17" x14ac:dyDescent="0.35">
      <c r="A124">
        <v>17</v>
      </c>
      <c r="B124">
        <v>6.91</v>
      </c>
      <c r="C124">
        <v>52.93</v>
      </c>
      <c r="D124" s="55" t="s">
        <v>10</v>
      </c>
      <c r="N124">
        <v>26</v>
      </c>
      <c r="O124">
        <v>4.76</v>
      </c>
      <c r="P124">
        <v>58</v>
      </c>
      <c r="Q124" s="55" t="s">
        <v>22</v>
      </c>
    </row>
    <row r="125" spans="1:17" x14ac:dyDescent="0.35">
      <c r="A125">
        <v>17</v>
      </c>
      <c r="B125">
        <v>9.17</v>
      </c>
      <c r="C125">
        <v>59.62</v>
      </c>
      <c r="D125" s="55" t="s">
        <v>10</v>
      </c>
      <c r="N125">
        <v>27</v>
      </c>
      <c r="O125">
        <v>4.84</v>
      </c>
      <c r="P125">
        <v>45.31</v>
      </c>
      <c r="Q125" s="55" t="s">
        <v>22</v>
      </c>
    </row>
    <row r="126" spans="1:17" x14ac:dyDescent="0.35">
      <c r="A126">
        <v>17</v>
      </c>
      <c r="B126">
        <v>7.93</v>
      </c>
      <c r="C126">
        <v>61.63</v>
      </c>
      <c r="D126" s="55" t="s">
        <v>10</v>
      </c>
      <c r="N126">
        <v>27</v>
      </c>
      <c r="O126">
        <v>6.96</v>
      </c>
      <c r="P126">
        <v>65.400000000000006</v>
      </c>
      <c r="Q126" s="55" t="s">
        <v>22</v>
      </c>
    </row>
    <row r="127" spans="1:17" x14ac:dyDescent="0.35">
      <c r="A127">
        <v>17</v>
      </c>
      <c r="B127">
        <v>6.05</v>
      </c>
      <c r="C127">
        <v>67.25</v>
      </c>
      <c r="D127" s="55" t="s">
        <v>10</v>
      </c>
      <c r="N127">
        <v>27</v>
      </c>
      <c r="O127">
        <v>6.63</v>
      </c>
      <c r="P127">
        <v>54.57</v>
      </c>
      <c r="Q127" s="55" t="s">
        <v>22</v>
      </c>
    </row>
    <row r="128" spans="1:17" x14ac:dyDescent="0.35">
      <c r="A128">
        <v>17</v>
      </c>
      <c r="B128">
        <v>10.199999999999999</v>
      </c>
      <c r="C128">
        <v>45.79</v>
      </c>
      <c r="D128" s="55" t="s">
        <v>10</v>
      </c>
      <c r="N128">
        <v>27</v>
      </c>
      <c r="O128">
        <v>6.63</v>
      </c>
      <c r="P128">
        <v>34.28</v>
      </c>
      <c r="Q128" s="55" t="s">
        <v>22</v>
      </c>
    </row>
    <row r="129" spans="1:17" x14ac:dyDescent="0.35">
      <c r="A129">
        <v>17</v>
      </c>
      <c r="B129">
        <v>7.7</v>
      </c>
      <c r="C129">
        <v>61.02</v>
      </c>
      <c r="D129" s="55" t="s">
        <v>10</v>
      </c>
      <c r="N129">
        <v>27</v>
      </c>
      <c r="O129">
        <v>7.7</v>
      </c>
      <c r="P129">
        <v>53.96</v>
      </c>
      <c r="Q129" s="55" t="s">
        <v>22</v>
      </c>
    </row>
    <row r="130" spans="1:17" x14ac:dyDescent="0.35">
      <c r="A130">
        <v>17</v>
      </c>
      <c r="B130">
        <v>9.66</v>
      </c>
      <c r="C130">
        <v>55.39</v>
      </c>
      <c r="D130" s="55" t="s">
        <v>10</v>
      </c>
      <c r="N130">
        <v>27</v>
      </c>
      <c r="O130">
        <v>9.25</v>
      </c>
      <c r="P130">
        <v>66.709999999999994</v>
      </c>
      <c r="Q130" s="55" t="s">
        <v>22</v>
      </c>
    </row>
    <row r="131" spans="1:17" x14ac:dyDescent="0.35">
      <c r="A131">
        <v>17</v>
      </c>
      <c r="B131">
        <v>10.1</v>
      </c>
      <c r="C131">
        <v>87.63</v>
      </c>
      <c r="D131" s="55" t="s">
        <v>10</v>
      </c>
      <c r="N131">
        <v>27</v>
      </c>
      <c r="O131">
        <v>4.7</v>
      </c>
      <c r="P131">
        <v>44.37</v>
      </c>
      <c r="Q131" s="55" t="s">
        <v>22</v>
      </c>
    </row>
    <row r="132" spans="1:17" x14ac:dyDescent="0.35">
      <c r="A132">
        <v>17</v>
      </c>
      <c r="B132">
        <v>10</v>
      </c>
      <c r="C132">
        <v>88.16</v>
      </c>
      <c r="D132" s="55" t="s">
        <v>10</v>
      </c>
      <c r="N132">
        <v>28</v>
      </c>
      <c r="O132">
        <v>7.41</v>
      </c>
      <c r="P132">
        <v>86.46</v>
      </c>
      <c r="Q132" s="55" t="s">
        <v>22</v>
      </c>
    </row>
    <row r="133" spans="1:17" x14ac:dyDescent="0.35">
      <c r="A133">
        <v>18</v>
      </c>
      <c r="B133">
        <v>4.0199999999999996</v>
      </c>
      <c r="C133">
        <v>70</v>
      </c>
      <c r="D133" s="55" t="s">
        <v>10</v>
      </c>
      <c r="N133">
        <v>28</v>
      </c>
      <c r="O133">
        <v>5.29</v>
      </c>
      <c r="P133">
        <v>46.77</v>
      </c>
      <c r="Q133" s="55" t="s">
        <v>22</v>
      </c>
    </row>
    <row r="134" spans="1:17" x14ac:dyDescent="0.35">
      <c r="A134">
        <v>18</v>
      </c>
      <c r="B134">
        <v>7.31</v>
      </c>
      <c r="C134">
        <v>53.57</v>
      </c>
      <c r="D134" s="55" t="s">
        <v>10</v>
      </c>
      <c r="N134">
        <v>28</v>
      </c>
      <c r="O134">
        <v>7.97</v>
      </c>
      <c r="P134">
        <v>52.97</v>
      </c>
      <c r="Q134" s="55" t="s">
        <v>22</v>
      </c>
    </row>
    <row r="135" spans="1:17" x14ac:dyDescent="0.35">
      <c r="A135">
        <v>18</v>
      </c>
      <c r="B135">
        <v>6.54</v>
      </c>
      <c r="C135">
        <v>60.5</v>
      </c>
      <c r="D135" s="55" t="s">
        <v>10</v>
      </c>
      <c r="N135">
        <v>28</v>
      </c>
      <c r="O135">
        <v>8.86</v>
      </c>
      <c r="P135">
        <v>55.5</v>
      </c>
      <c r="Q135" s="55" t="s">
        <v>22</v>
      </c>
    </row>
    <row r="136" spans="1:17" x14ac:dyDescent="0.35">
      <c r="A136">
        <v>18</v>
      </c>
      <c r="B136">
        <v>7.57</v>
      </c>
      <c r="C136">
        <v>73.78</v>
      </c>
      <c r="D136" s="55" t="s">
        <v>10</v>
      </c>
      <c r="N136">
        <v>28</v>
      </c>
      <c r="O136">
        <v>5.39</v>
      </c>
      <c r="P136">
        <v>44.63</v>
      </c>
      <c r="Q136" s="55" t="s">
        <v>22</v>
      </c>
    </row>
    <row r="137" spans="1:17" x14ac:dyDescent="0.35">
      <c r="A137">
        <v>18</v>
      </c>
      <c r="B137">
        <v>2.6</v>
      </c>
      <c r="C137">
        <v>42.51</v>
      </c>
      <c r="D137" s="55" t="s">
        <v>10</v>
      </c>
      <c r="N137">
        <v>28</v>
      </c>
      <c r="O137">
        <v>5.34</v>
      </c>
      <c r="P137">
        <v>51.69</v>
      </c>
      <c r="Q137" s="55" t="s">
        <v>22</v>
      </c>
    </row>
    <row r="138" spans="1:17" x14ac:dyDescent="0.35">
      <c r="A138">
        <v>18</v>
      </c>
      <c r="B138">
        <v>6.84</v>
      </c>
      <c r="C138">
        <v>81.88</v>
      </c>
      <c r="D138" s="55" t="s">
        <v>10</v>
      </c>
      <c r="N138">
        <v>28</v>
      </c>
      <c r="O138">
        <v>9.49</v>
      </c>
      <c r="P138">
        <v>80.47</v>
      </c>
      <c r="Q138" s="55" t="s">
        <v>22</v>
      </c>
    </row>
    <row r="139" spans="1:17" x14ac:dyDescent="0.35">
      <c r="A139">
        <v>18</v>
      </c>
      <c r="B139">
        <v>11.1</v>
      </c>
      <c r="C139">
        <v>100.82</v>
      </c>
      <c r="D139" s="55" t="s">
        <v>10</v>
      </c>
      <c r="N139">
        <v>28</v>
      </c>
      <c r="O139">
        <v>7.21</v>
      </c>
      <c r="P139">
        <v>52.08</v>
      </c>
      <c r="Q139" s="55" t="s">
        <v>22</v>
      </c>
    </row>
    <row r="140" spans="1:17" x14ac:dyDescent="0.35">
      <c r="A140">
        <v>19</v>
      </c>
      <c r="B140">
        <v>12.7</v>
      </c>
      <c r="C140">
        <v>89.68</v>
      </c>
      <c r="D140" s="55" t="s">
        <v>10</v>
      </c>
      <c r="N140">
        <v>28</v>
      </c>
      <c r="O140">
        <v>7.6</v>
      </c>
      <c r="P140">
        <v>73.75</v>
      </c>
      <c r="Q140" s="55" t="s">
        <v>22</v>
      </c>
    </row>
    <row r="141" spans="1:17" x14ac:dyDescent="0.35">
      <c r="A141">
        <v>19</v>
      </c>
      <c r="B141">
        <v>2.9</v>
      </c>
      <c r="C141">
        <v>31.65</v>
      </c>
      <c r="D141" s="55" t="s">
        <v>10</v>
      </c>
      <c r="N141">
        <v>29</v>
      </c>
      <c r="O141">
        <v>9.02</v>
      </c>
      <c r="P141">
        <v>78.27</v>
      </c>
      <c r="Q141" s="55" t="s">
        <v>22</v>
      </c>
    </row>
    <row r="142" spans="1:17" x14ac:dyDescent="0.35">
      <c r="A142">
        <v>19</v>
      </c>
      <c r="B142">
        <v>6.22</v>
      </c>
      <c r="C142">
        <v>33.18</v>
      </c>
      <c r="D142" s="55" t="s">
        <v>10</v>
      </c>
      <c r="N142">
        <v>29</v>
      </c>
      <c r="O142">
        <v>6.59</v>
      </c>
      <c r="P142">
        <v>52.87</v>
      </c>
      <c r="Q142" s="55" t="s">
        <v>22</v>
      </c>
    </row>
    <row r="143" spans="1:17" x14ac:dyDescent="0.35">
      <c r="A143">
        <v>19</v>
      </c>
      <c r="B143">
        <v>7.79</v>
      </c>
      <c r="C143">
        <v>34.770000000000003</v>
      </c>
      <c r="D143" s="55" t="s">
        <v>10</v>
      </c>
      <c r="N143">
        <v>29</v>
      </c>
      <c r="O143">
        <v>7.38</v>
      </c>
      <c r="P143">
        <v>26.08</v>
      </c>
      <c r="Q143" s="55" t="s">
        <v>22</v>
      </c>
    </row>
    <row r="144" spans="1:17" x14ac:dyDescent="0.35">
      <c r="A144">
        <v>19</v>
      </c>
      <c r="B144">
        <v>7.3</v>
      </c>
      <c r="C144">
        <v>66.13</v>
      </c>
      <c r="D144" s="55" t="s">
        <v>10</v>
      </c>
      <c r="N144">
        <v>29</v>
      </c>
      <c r="O144">
        <v>5.47</v>
      </c>
      <c r="P144">
        <v>44.4</v>
      </c>
      <c r="Q144" s="55" t="s">
        <v>22</v>
      </c>
    </row>
    <row r="145" spans="1:17" x14ac:dyDescent="0.35">
      <c r="A145">
        <v>19</v>
      </c>
      <c r="B145">
        <v>3.8</v>
      </c>
      <c r="C145">
        <v>23.5</v>
      </c>
      <c r="D145" s="55" t="s">
        <v>10</v>
      </c>
      <c r="N145">
        <v>29</v>
      </c>
      <c r="O145">
        <v>5.96</v>
      </c>
      <c r="P145">
        <v>55.1</v>
      </c>
      <c r="Q145" s="55" t="s">
        <v>22</v>
      </c>
    </row>
    <row r="146" spans="1:17" x14ac:dyDescent="0.35">
      <c r="A146">
        <v>19</v>
      </c>
      <c r="B146">
        <v>3.8</v>
      </c>
      <c r="C146">
        <v>50.34</v>
      </c>
      <c r="D146" s="55" t="s">
        <v>10</v>
      </c>
      <c r="N146">
        <v>30</v>
      </c>
      <c r="O146">
        <v>6.45</v>
      </c>
      <c r="P146">
        <v>59.74</v>
      </c>
      <c r="Q146" s="55" t="s">
        <v>22</v>
      </c>
    </row>
    <row r="147" spans="1:17" x14ac:dyDescent="0.35">
      <c r="A147">
        <v>19</v>
      </c>
      <c r="B147">
        <v>6.41</v>
      </c>
      <c r="C147">
        <v>26.77</v>
      </c>
      <c r="D147" s="55" t="s">
        <v>10</v>
      </c>
      <c r="N147">
        <v>30</v>
      </c>
      <c r="O147">
        <v>9.18</v>
      </c>
      <c r="P147">
        <v>73.87</v>
      </c>
      <c r="Q147" s="55" t="s">
        <v>22</v>
      </c>
    </row>
    <row r="148" spans="1:17" x14ac:dyDescent="0.35">
      <c r="A148">
        <v>19</v>
      </c>
      <c r="B148">
        <v>8.7799999999999994</v>
      </c>
      <c r="C148">
        <v>61.87</v>
      </c>
      <c r="D148" s="55" t="s">
        <v>10</v>
      </c>
      <c r="N148">
        <v>30</v>
      </c>
      <c r="O148">
        <v>6.72</v>
      </c>
      <c r="P148">
        <v>64.55</v>
      </c>
      <c r="Q148" s="55" t="s">
        <v>22</v>
      </c>
    </row>
    <row r="149" spans="1:17" x14ac:dyDescent="0.35">
      <c r="A149">
        <v>19</v>
      </c>
      <c r="B149">
        <v>4.12</v>
      </c>
      <c r="C149">
        <v>37.869999999999997</v>
      </c>
      <c r="D149" s="55" t="s">
        <v>10</v>
      </c>
      <c r="N149">
        <v>30</v>
      </c>
      <c r="O149">
        <v>4.54</v>
      </c>
      <c r="P149">
        <v>42.01</v>
      </c>
      <c r="Q149" s="55" t="s">
        <v>22</v>
      </c>
    </row>
    <row r="150" spans="1:17" x14ac:dyDescent="0.35">
      <c r="A150">
        <v>19</v>
      </c>
      <c r="B150">
        <v>7.73</v>
      </c>
      <c r="C150">
        <v>75.430000000000007</v>
      </c>
      <c r="D150" s="55" t="s">
        <v>10</v>
      </c>
      <c r="N150">
        <v>30</v>
      </c>
      <c r="O150">
        <v>4.1500000000000004</v>
      </c>
      <c r="P150">
        <v>60.58</v>
      </c>
      <c r="Q150" s="55" t="s">
        <v>22</v>
      </c>
    </row>
    <row r="151" spans="1:17" x14ac:dyDescent="0.35">
      <c r="A151">
        <v>20</v>
      </c>
      <c r="B151">
        <v>4.78</v>
      </c>
      <c r="C151">
        <v>76.27</v>
      </c>
      <c r="D151" s="55" t="s">
        <v>10</v>
      </c>
      <c r="N151">
        <v>30</v>
      </c>
      <c r="O151">
        <v>9.2200000000000006</v>
      </c>
      <c r="P151">
        <v>83.76</v>
      </c>
      <c r="Q151" s="55" t="s">
        <v>22</v>
      </c>
    </row>
    <row r="152" spans="1:17" x14ac:dyDescent="0.35">
      <c r="A152">
        <v>20</v>
      </c>
      <c r="B152">
        <v>6.75</v>
      </c>
      <c r="C152">
        <v>79.989999999999995</v>
      </c>
      <c r="D152" s="55" t="s">
        <v>10</v>
      </c>
      <c r="N152">
        <v>30</v>
      </c>
      <c r="O152">
        <v>4.93</v>
      </c>
      <c r="P152">
        <v>43.97</v>
      </c>
      <c r="Q152" s="55" t="s">
        <v>22</v>
      </c>
    </row>
    <row r="153" spans="1:17" x14ac:dyDescent="0.35">
      <c r="A153">
        <v>20</v>
      </c>
      <c r="B153">
        <v>5.0999999999999996</v>
      </c>
      <c r="C153">
        <v>58.17</v>
      </c>
      <c r="D153" s="55" t="s">
        <v>10</v>
      </c>
      <c r="N153">
        <v>30</v>
      </c>
      <c r="O153">
        <v>8.61</v>
      </c>
      <c r="P153">
        <v>52.91</v>
      </c>
      <c r="Q153" s="55" t="s">
        <v>22</v>
      </c>
    </row>
    <row r="154" spans="1:17" x14ac:dyDescent="0.35">
      <c r="A154">
        <v>20</v>
      </c>
      <c r="B154">
        <v>8.35</v>
      </c>
      <c r="C154">
        <v>41.23</v>
      </c>
      <c r="D154" s="55" t="s">
        <v>10</v>
      </c>
      <c r="N154">
        <v>31</v>
      </c>
      <c r="O154">
        <v>9.6</v>
      </c>
      <c r="P154">
        <v>79.55</v>
      </c>
      <c r="Q154" s="55" t="s">
        <v>22</v>
      </c>
    </row>
    <row r="155" spans="1:17" x14ac:dyDescent="0.35">
      <c r="A155">
        <v>20</v>
      </c>
      <c r="B155">
        <v>5.88</v>
      </c>
      <c r="C155">
        <v>63.1</v>
      </c>
      <c r="D155" s="55" t="s">
        <v>10</v>
      </c>
      <c r="N155">
        <v>31</v>
      </c>
      <c r="O155">
        <v>7.33</v>
      </c>
      <c r="P155">
        <v>57</v>
      </c>
      <c r="Q155" s="55" t="s">
        <v>22</v>
      </c>
    </row>
    <row r="156" spans="1:17" x14ac:dyDescent="0.35">
      <c r="A156">
        <v>20</v>
      </c>
      <c r="B156">
        <v>6.68</v>
      </c>
      <c r="C156">
        <v>74.41</v>
      </c>
      <c r="D156" s="55" t="s">
        <v>10</v>
      </c>
      <c r="N156">
        <v>31</v>
      </c>
      <c r="O156">
        <v>4.13</v>
      </c>
      <c r="P156">
        <v>26.63</v>
      </c>
      <c r="Q156" s="55" t="s">
        <v>22</v>
      </c>
    </row>
    <row r="157" spans="1:17" x14ac:dyDescent="0.35">
      <c r="A157">
        <v>20</v>
      </c>
      <c r="B157">
        <v>7.69</v>
      </c>
      <c r="C157">
        <v>57.42</v>
      </c>
      <c r="D157" s="55" t="s">
        <v>10</v>
      </c>
      <c r="N157">
        <v>31</v>
      </c>
      <c r="O157">
        <v>7.22</v>
      </c>
      <c r="P157">
        <v>28.75</v>
      </c>
      <c r="Q157" s="55" t="s">
        <v>22</v>
      </c>
    </row>
    <row r="158" spans="1:17" x14ac:dyDescent="0.35">
      <c r="A158">
        <v>20</v>
      </c>
      <c r="B158">
        <v>7.84</v>
      </c>
      <c r="C158">
        <v>63.91</v>
      </c>
      <c r="D158" s="55" t="s">
        <v>10</v>
      </c>
      <c r="N158">
        <v>31</v>
      </c>
      <c r="O158">
        <v>6.38</v>
      </c>
      <c r="P158">
        <v>63.51</v>
      </c>
      <c r="Q158" s="55" t="s">
        <v>22</v>
      </c>
    </row>
    <row r="159" spans="1:17" x14ac:dyDescent="0.35">
      <c r="A159">
        <v>20</v>
      </c>
      <c r="B159">
        <v>3</v>
      </c>
      <c r="C159">
        <v>30.68</v>
      </c>
      <c r="D159" s="55" t="s">
        <v>10</v>
      </c>
      <c r="N159">
        <v>31</v>
      </c>
      <c r="O159">
        <v>4.55</v>
      </c>
      <c r="P159">
        <v>44.23</v>
      </c>
      <c r="Q159" s="55" t="s">
        <v>22</v>
      </c>
    </row>
    <row r="160" spans="1:17" x14ac:dyDescent="0.35">
      <c r="A160">
        <v>20</v>
      </c>
      <c r="B160">
        <v>7.97</v>
      </c>
      <c r="C160">
        <v>104.75</v>
      </c>
      <c r="D160" s="55" t="s">
        <v>10</v>
      </c>
      <c r="N160">
        <v>31</v>
      </c>
      <c r="O160">
        <v>6.55</v>
      </c>
      <c r="P160">
        <v>50.83</v>
      </c>
      <c r="Q160" s="55" t="s">
        <v>22</v>
      </c>
    </row>
    <row r="161" spans="1:17" x14ac:dyDescent="0.35">
      <c r="A161">
        <v>20</v>
      </c>
      <c r="B161">
        <v>11.9</v>
      </c>
      <c r="C161">
        <v>95.17</v>
      </c>
      <c r="D161" s="55" t="s">
        <v>10</v>
      </c>
      <c r="N161">
        <v>31</v>
      </c>
      <c r="O161">
        <v>5.87</v>
      </c>
      <c r="P161">
        <v>57.43</v>
      </c>
      <c r="Q161" s="55" t="s">
        <v>22</v>
      </c>
    </row>
    <row r="162" spans="1:17" x14ac:dyDescent="0.35">
      <c r="A162">
        <v>20</v>
      </c>
      <c r="B162">
        <v>4.46</v>
      </c>
      <c r="C162">
        <v>34.049999999999997</v>
      </c>
      <c r="D162" s="55" t="s">
        <v>10</v>
      </c>
      <c r="N162">
        <v>31</v>
      </c>
      <c r="O162">
        <v>9.73</v>
      </c>
      <c r="P162">
        <v>74.14</v>
      </c>
      <c r="Q162" s="55" t="s">
        <v>22</v>
      </c>
    </row>
    <row r="163" spans="1:17" x14ac:dyDescent="0.35">
      <c r="A163">
        <v>21</v>
      </c>
      <c r="B163">
        <v>1.5</v>
      </c>
      <c r="C163">
        <v>23.33</v>
      </c>
      <c r="D163" s="55" t="s">
        <v>10</v>
      </c>
      <c r="N163">
        <v>31</v>
      </c>
      <c r="O163">
        <v>4.6500000000000004</v>
      </c>
      <c r="P163">
        <v>30.74</v>
      </c>
      <c r="Q163" s="55" t="s">
        <v>22</v>
      </c>
    </row>
    <row r="164" spans="1:17" x14ac:dyDescent="0.35">
      <c r="A164">
        <v>21</v>
      </c>
      <c r="B164">
        <v>10.6</v>
      </c>
      <c r="C164">
        <v>85.37</v>
      </c>
      <c r="D164" s="55" t="s">
        <v>10</v>
      </c>
      <c r="N164">
        <v>31</v>
      </c>
      <c r="O164">
        <v>8.92</v>
      </c>
      <c r="P164">
        <v>77.150000000000006</v>
      </c>
      <c r="Q164" s="55" t="s">
        <v>22</v>
      </c>
    </row>
    <row r="165" spans="1:17" x14ac:dyDescent="0.35">
      <c r="A165">
        <v>21</v>
      </c>
      <c r="B165">
        <v>9.5299999999999994</v>
      </c>
      <c r="C165">
        <v>57.6</v>
      </c>
      <c r="D165" s="55" t="s">
        <v>10</v>
      </c>
      <c r="N165">
        <v>33</v>
      </c>
      <c r="O165">
        <v>6.99</v>
      </c>
      <c r="P165">
        <v>54.32</v>
      </c>
      <c r="Q165" s="55" t="s">
        <v>22</v>
      </c>
    </row>
    <row r="166" spans="1:17" x14ac:dyDescent="0.35">
      <c r="A166">
        <v>21</v>
      </c>
      <c r="B166">
        <v>4.2</v>
      </c>
      <c r="C166">
        <v>44.29</v>
      </c>
      <c r="D166" s="55" t="s">
        <v>10</v>
      </c>
      <c r="N166">
        <v>33</v>
      </c>
      <c r="O166">
        <v>8.4700000000000006</v>
      </c>
      <c r="P166">
        <v>69.06</v>
      </c>
      <c r="Q166" s="55" t="s">
        <v>22</v>
      </c>
    </row>
    <row r="167" spans="1:17" x14ac:dyDescent="0.35">
      <c r="A167">
        <v>21</v>
      </c>
      <c r="B167">
        <v>7.87</v>
      </c>
      <c r="C167">
        <v>55.21</v>
      </c>
      <c r="D167" s="55" t="s">
        <v>10</v>
      </c>
      <c r="N167">
        <v>33</v>
      </c>
      <c r="O167">
        <v>7.6</v>
      </c>
      <c r="P167">
        <v>50.29</v>
      </c>
      <c r="Q167" s="55" t="s">
        <v>22</v>
      </c>
    </row>
    <row r="168" spans="1:17" x14ac:dyDescent="0.35">
      <c r="A168">
        <v>21</v>
      </c>
      <c r="B168">
        <v>7.27</v>
      </c>
      <c r="C168">
        <v>64.69</v>
      </c>
      <c r="D168" s="55" t="s">
        <v>10</v>
      </c>
      <c r="N168">
        <v>33</v>
      </c>
      <c r="O168">
        <v>9.19</v>
      </c>
      <c r="P168">
        <v>72.56</v>
      </c>
      <c r="Q168" s="55" t="s">
        <v>22</v>
      </c>
    </row>
    <row r="169" spans="1:17" x14ac:dyDescent="0.35">
      <c r="A169">
        <v>21</v>
      </c>
      <c r="B169">
        <v>9.15</v>
      </c>
      <c r="C169">
        <v>78.58</v>
      </c>
      <c r="D169" s="55" t="s">
        <v>10</v>
      </c>
      <c r="N169">
        <v>34</v>
      </c>
      <c r="O169">
        <v>5.15</v>
      </c>
      <c r="P169">
        <v>51.35</v>
      </c>
      <c r="Q169" s="55" t="s">
        <v>22</v>
      </c>
    </row>
    <row r="170" spans="1:17" x14ac:dyDescent="0.35">
      <c r="A170">
        <v>21</v>
      </c>
      <c r="B170">
        <v>6.65</v>
      </c>
      <c r="C170">
        <v>62.98</v>
      </c>
      <c r="D170" s="55" t="s">
        <v>10</v>
      </c>
      <c r="N170">
        <v>34</v>
      </c>
      <c r="O170">
        <v>6.82</v>
      </c>
      <c r="P170">
        <v>55.6</v>
      </c>
      <c r="Q170" s="55" t="s">
        <v>22</v>
      </c>
    </row>
    <row r="171" spans="1:17" x14ac:dyDescent="0.35">
      <c r="A171">
        <v>21</v>
      </c>
      <c r="B171">
        <v>6.16</v>
      </c>
      <c r="C171">
        <v>43.75</v>
      </c>
      <c r="D171" s="55" t="s">
        <v>10</v>
      </c>
      <c r="N171">
        <v>34</v>
      </c>
      <c r="O171">
        <v>6.12</v>
      </c>
      <c r="P171">
        <v>49.54</v>
      </c>
      <c r="Q171" s="55" t="s">
        <v>22</v>
      </c>
    </row>
    <row r="172" spans="1:17" x14ac:dyDescent="0.35">
      <c r="A172">
        <v>21</v>
      </c>
      <c r="B172">
        <v>9.58</v>
      </c>
      <c r="C172">
        <v>57.83</v>
      </c>
      <c r="D172" s="55" t="s">
        <v>10</v>
      </c>
      <c r="N172">
        <v>34</v>
      </c>
      <c r="O172">
        <v>4.03</v>
      </c>
      <c r="P172">
        <v>44.21</v>
      </c>
      <c r="Q172" s="55" t="s">
        <v>22</v>
      </c>
    </row>
    <row r="173" spans="1:17" x14ac:dyDescent="0.35">
      <c r="A173">
        <v>22</v>
      </c>
      <c r="B173">
        <v>5.05</v>
      </c>
      <c r="C173">
        <v>45.65</v>
      </c>
      <c r="D173" s="55" t="s">
        <v>10</v>
      </c>
      <c r="N173">
        <v>34</v>
      </c>
      <c r="O173">
        <v>9.94</v>
      </c>
      <c r="P173">
        <v>81.680000000000007</v>
      </c>
      <c r="Q173" s="55" t="s">
        <v>22</v>
      </c>
    </row>
    <row r="174" spans="1:17" x14ac:dyDescent="0.35">
      <c r="A174">
        <v>22</v>
      </c>
      <c r="B174">
        <v>6.09</v>
      </c>
      <c r="C174">
        <v>55.31</v>
      </c>
      <c r="D174" s="55" t="s">
        <v>10</v>
      </c>
      <c r="N174">
        <v>34</v>
      </c>
      <c r="O174">
        <v>5.38</v>
      </c>
      <c r="P174">
        <v>50.46</v>
      </c>
      <c r="Q174" s="55" t="s">
        <v>22</v>
      </c>
    </row>
    <row r="175" spans="1:17" x14ac:dyDescent="0.35">
      <c r="A175">
        <v>22</v>
      </c>
      <c r="B175">
        <v>8.1</v>
      </c>
      <c r="C175">
        <v>65.84</v>
      </c>
      <c r="D175" s="55" t="s">
        <v>10</v>
      </c>
      <c r="N175">
        <v>34</v>
      </c>
      <c r="O175">
        <v>8.64</v>
      </c>
      <c r="P175">
        <v>65.87</v>
      </c>
      <c r="Q175" s="55" t="s">
        <v>22</v>
      </c>
    </row>
    <row r="176" spans="1:17" x14ac:dyDescent="0.35">
      <c r="A176">
        <v>22</v>
      </c>
      <c r="B176">
        <v>5.79</v>
      </c>
      <c r="C176">
        <v>67.23</v>
      </c>
      <c r="D176" s="55" t="s">
        <v>10</v>
      </c>
      <c r="N176">
        <v>34</v>
      </c>
      <c r="O176">
        <v>4.93</v>
      </c>
      <c r="P176">
        <v>65.16</v>
      </c>
      <c r="Q176" s="55" t="s">
        <v>22</v>
      </c>
    </row>
    <row r="177" spans="1:17" x14ac:dyDescent="0.35">
      <c r="A177">
        <v>22</v>
      </c>
      <c r="B177">
        <v>10.7</v>
      </c>
      <c r="C177">
        <v>82.02</v>
      </c>
      <c r="D177" s="55" t="s">
        <v>10</v>
      </c>
      <c r="N177">
        <v>35</v>
      </c>
      <c r="O177">
        <v>4.68</v>
      </c>
      <c r="P177">
        <v>49.81</v>
      </c>
      <c r="Q177" s="55" t="s">
        <v>22</v>
      </c>
    </row>
    <row r="178" spans="1:17" x14ac:dyDescent="0.35">
      <c r="A178">
        <v>22</v>
      </c>
      <c r="B178">
        <v>9.1999999999999993</v>
      </c>
      <c r="C178">
        <v>72.510000000000005</v>
      </c>
      <c r="D178" s="55" t="s">
        <v>10</v>
      </c>
      <c r="N178">
        <v>35</v>
      </c>
      <c r="O178">
        <v>9.07</v>
      </c>
      <c r="P178">
        <v>67.150000000000006</v>
      </c>
      <c r="Q178" s="55" t="s">
        <v>22</v>
      </c>
    </row>
    <row r="179" spans="1:17" x14ac:dyDescent="0.35">
      <c r="A179">
        <v>22</v>
      </c>
      <c r="B179">
        <v>12.4</v>
      </c>
      <c r="C179">
        <v>96.74</v>
      </c>
      <c r="D179" s="55" t="s">
        <v>10</v>
      </c>
      <c r="N179">
        <v>35</v>
      </c>
      <c r="O179">
        <v>7.37</v>
      </c>
      <c r="P179">
        <v>57.9</v>
      </c>
      <c r="Q179" s="55" t="s">
        <v>22</v>
      </c>
    </row>
    <row r="180" spans="1:17" x14ac:dyDescent="0.35">
      <c r="A180">
        <v>22</v>
      </c>
      <c r="B180">
        <v>11.3</v>
      </c>
      <c r="C180">
        <v>99.6</v>
      </c>
      <c r="D180" s="55" t="s">
        <v>10</v>
      </c>
      <c r="N180">
        <v>35</v>
      </c>
      <c r="O180">
        <v>4.88</v>
      </c>
      <c r="P180">
        <v>46.33</v>
      </c>
      <c r="Q180" s="55" t="s">
        <v>22</v>
      </c>
    </row>
    <row r="181" spans="1:17" x14ac:dyDescent="0.35">
      <c r="A181">
        <v>22</v>
      </c>
      <c r="B181">
        <v>12.7</v>
      </c>
      <c r="C181">
        <v>88.57</v>
      </c>
      <c r="D181" s="55" t="s">
        <v>10</v>
      </c>
      <c r="N181">
        <v>35</v>
      </c>
      <c r="O181">
        <v>6.63</v>
      </c>
      <c r="P181">
        <v>79.290000000000006</v>
      </c>
      <c r="Q181" s="55" t="s">
        <v>22</v>
      </c>
    </row>
    <row r="182" spans="1:17" x14ac:dyDescent="0.35">
      <c r="A182">
        <v>22</v>
      </c>
      <c r="B182">
        <v>7.66</v>
      </c>
      <c r="C182">
        <v>69.86</v>
      </c>
      <c r="D182" s="55" t="s">
        <v>10</v>
      </c>
      <c r="N182">
        <v>35</v>
      </c>
      <c r="O182">
        <v>7.69</v>
      </c>
      <c r="P182">
        <v>81.08</v>
      </c>
      <c r="Q182" s="55" t="s">
        <v>22</v>
      </c>
    </row>
    <row r="183" spans="1:17" x14ac:dyDescent="0.35">
      <c r="A183">
        <v>23</v>
      </c>
      <c r="B183">
        <v>7.55</v>
      </c>
      <c r="C183">
        <v>92.22</v>
      </c>
      <c r="D183" s="55" t="s">
        <v>10</v>
      </c>
      <c r="N183">
        <v>35</v>
      </c>
      <c r="O183">
        <v>8.3800000000000008</v>
      </c>
      <c r="P183">
        <v>100.78</v>
      </c>
      <c r="Q183" s="55" t="s">
        <v>22</v>
      </c>
    </row>
    <row r="184" spans="1:17" x14ac:dyDescent="0.35">
      <c r="A184">
        <v>23</v>
      </c>
      <c r="B184">
        <v>12.1</v>
      </c>
      <c r="C184">
        <v>83.86</v>
      </c>
      <c r="D184" s="55" t="s">
        <v>10</v>
      </c>
      <c r="N184">
        <v>36</v>
      </c>
      <c r="O184">
        <v>5.2</v>
      </c>
      <c r="P184">
        <v>39.99</v>
      </c>
      <c r="Q184" s="55" t="s">
        <v>22</v>
      </c>
    </row>
    <row r="185" spans="1:17" x14ac:dyDescent="0.35">
      <c r="A185">
        <v>23</v>
      </c>
      <c r="B185">
        <v>9.3000000000000007</v>
      </c>
      <c r="C185">
        <v>58.26</v>
      </c>
      <c r="D185" s="55" t="s">
        <v>10</v>
      </c>
      <c r="N185">
        <v>36</v>
      </c>
      <c r="O185">
        <v>4.24</v>
      </c>
      <c r="P185">
        <v>45.75</v>
      </c>
      <c r="Q185" s="55" t="s">
        <v>22</v>
      </c>
    </row>
    <row r="186" spans="1:17" x14ac:dyDescent="0.35">
      <c r="A186">
        <v>23</v>
      </c>
      <c r="B186">
        <v>4.6100000000000003</v>
      </c>
      <c r="C186">
        <v>41.34</v>
      </c>
      <c r="D186" s="55" t="s">
        <v>10</v>
      </c>
      <c r="N186">
        <v>36</v>
      </c>
      <c r="O186">
        <v>8.49</v>
      </c>
      <c r="P186">
        <v>62.51</v>
      </c>
      <c r="Q186" s="55" t="s">
        <v>22</v>
      </c>
    </row>
    <row r="187" spans="1:17" x14ac:dyDescent="0.35">
      <c r="A187">
        <v>23</v>
      </c>
      <c r="B187">
        <v>8.9700000000000006</v>
      </c>
      <c r="C187">
        <v>53.51</v>
      </c>
      <c r="D187" s="55" t="s">
        <v>10</v>
      </c>
      <c r="N187">
        <v>36</v>
      </c>
      <c r="O187">
        <v>9.99</v>
      </c>
      <c r="P187">
        <v>78.39</v>
      </c>
      <c r="Q187" s="55" t="s">
        <v>22</v>
      </c>
    </row>
    <row r="188" spans="1:17" x14ac:dyDescent="0.35">
      <c r="A188">
        <v>23</v>
      </c>
      <c r="B188">
        <v>11.8</v>
      </c>
      <c r="C188">
        <v>74.97</v>
      </c>
      <c r="D188" s="55" t="s">
        <v>10</v>
      </c>
      <c r="N188">
        <v>36</v>
      </c>
      <c r="O188">
        <v>9.35</v>
      </c>
      <c r="P188">
        <v>96.31</v>
      </c>
      <c r="Q188" s="55" t="s">
        <v>22</v>
      </c>
    </row>
    <row r="189" spans="1:17" x14ac:dyDescent="0.35">
      <c r="A189">
        <v>23</v>
      </c>
      <c r="B189">
        <v>2.8</v>
      </c>
      <c r="C189">
        <v>11.14</v>
      </c>
      <c r="D189" s="55" t="s">
        <v>10</v>
      </c>
      <c r="N189">
        <v>36</v>
      </c>
      <c r="O189">
        <v>5.77</v>
      </c>
      <c r="P189">
        <v>46.76</v>
      </c>
      <c r="Q189" s="55" t="s">
        <v>22</v>
      </c>
    </row>
    <row r="190" spans="1:17" x14ac:dyDescent="0.35">
      <c r="A190">
        <v>24</v>
      </c>
      <c r="B190">
        <v>8.6199999999999992</v>
      </c>
      <c r="C190">
        <v>59.47</v>
      </c>
      <c r="D190" s="55" t="s">
        <v>10</v>
      </c>
      <c r="N190">
        <v>36</v>
      </c>
      <c r="O190">
        <v>6.97</v>
      </c>
      <c r="P190">
        <v>58.86</v>
      </c>
      <c r="Q190" s="55" t="s">
        <v>22</v>
      </c>
    </row>
    <row r="191" spans="1:17" x14ac:dyDescent="0.35">
      <c r="A191">
        <v>24</v>
      </c>
      <c r="B191">
        <v>4</v>
      </c>
      <c r="C191">
        <v>58.99</v>
      </c>
      <c r="D191" s="55" t="s">
        <v>10</v>
      </c>
      <c r="N191">
        <v>36</v>
      </c>
      <c r="O191">
        <v>9.0299999999999994</v>
      </c>
      <c r="P191">
        <v>77.069999999999993</v>
      </c>
      <c r="Q191" s="55" t="s">
        <v>22</v>
      </c>
    </row>
    <row r="192" spans="1:17" x14ac:dyDescent="0.35">
      <c r="A192">
        <v>24</v>
      </c>
      <c r="B192">
        <v>5.65</v>
      </c>
      <c r="C192">
        <v>65.02</v>
      </c>
      <c r="D192" s="55" t="s">
        <v>10</v>
      </c>
      <c r="N192">
        <v>37</v>
      </c>
      <c r="O192">
        <v>8.6</v>
      </c>
      <c r="P192">
        <v>43.95</v>
      </c>
      <c r="Q192" s="55" t="s">
        <v>22</v>
      </c>
    </row>
    <row r="193" spans="1:17" x14ac:dyDescent="0.35">
      <c r="A193">
        <v>24</v>
      </c>
      <c r="B193">
        <v>5.18</v>
      </c>
      <c r="C193">
        <v>59.17</v>
      </c>
      <c r="D193" s="55" t="s">
        <v>10</v>
      </c>
      <c r="N193">
        <v>37</v>
      </c>
      <c r="O193">
        <v>8.8000000000000007</v>
      </c>
      <c r="P193">
        <v>68.760000000000005</v>
      </c>
      <c r="Q193" s="55" t="s">
        <v>22</v>
      </c>
    </row>
    <row r="194" spans="1:17" x14ac:dyDescent="0.35">
      <c r="A194">
        <v>24</v>
      </c>
      <c r="B194">
        <v>7.72</v>
      </c>
      <c r="C194">
        <v>31.75</v>
      </c>
      <c r="D194" s="55" t="s">
        <v>10</v>
      </c>
      <c r="N194">
        <v>38</v>
      </c>
      <c r="O194">
        <v>6.82</v>
      </c>
      <c r="P194">
        <v>52.3</v>
      </c>
      <c r="Q194" s="55" t="s">
        <v>22</v>
      </c>
    </row>
    <row r="195" spans="1:17" x14ac:dyDescent="0.35">
      <c r="A195">
        <v>24</v>
      </c>
      <c r="B195">
        <v>6.85</v>
      </c>
      <c r="C195">
        <v>62.56</v>
      </c>
      <c r="D195" s="55" t="s">
        <v>10</v>
      </c>
      <c r="N195">
        <v>38</v>
      </c>
      <c r="O195">
        <v>8.2200000000000006</v>
      </c>
      <c r="P195">
        <v>80.31</v>
      </c>
      <c r="Q195" s="55" t="s">
        <v>22</v>
      </c>
    </row>
    <row r="196" spans="1:17" x14ac:dyDescent="0.35">
      <c r="A196">
        <v>24</v>
      </c>
      <c r="B196">
        <v>6.56</v>
      </c>
      <c r="C196">
        <v>76.7</v>
      </c>
      <c r="D196" s="55" t="s">
        <v>10</v>
      </c>
      <c r="N196">
        <v>38</v>
      </c>
      <c r="O196">
        <v>4.28</v>
      </c>
      <c r="P196">
        <v>43.18</v>
      </c>
      <c r="Q196" s="55" t="s">
        <v>22</v>
      </c>
    </row>
    <row r="197" spans="1:17" x14ac:dyDescent="0.35">
      <c r="A197">
        <v>24</v>
      </c>
      <c r="B197">
        <v>9.31</v>
      </c>
      <c r="C197">
        <v>77.760000000000005</v>
      </c>
      <c r="D197" s="55" t="s">
        <v>10</v>
      </c>
      <c r="N197">
        <v>38</v>
      </c>
      <c r="O197">
        <v>5.5</v>
      </c>
      <c r="P197">
        <v>42.01</v>
      </c>
      <c r="Q197" s="55" t="s">
        <v>22</v>
      </c>
    </row>
    <row r="198" spans="1:17" x14ac:dyDescent="0.35">
      <c r="A198">
        <v>24</v>
      </c>
      <c r="B198">
        <v>6.46</v>
      </c>
      <c r="C198">
        <v>50.33</v>
      </c>
      <c r="D198" s="55" t="s">
        <v>10</v>
      </c>
      <c r="N198">
        <v>38</v>
      </c>
      <c r="O198">
        <v>4.75</v>
      </c>
      <c r="P198">
        <v>51</v>
      </c>
      <c r="Q198" s="55" t="s">
        <v>22</v>
      </c>
    </row>
    <row r="199" spans="1:17" x14ac:dyDescent="0.35">
      <c r="A199">
        <v>24</v>
      </c>
      <c r="B199">
        <v>5.61</v>
      </c>
      <c r="C199">
        <v>63.19</v>
      </c>
      <c r="D199" s="55" t="s">
        <v>10</v>
      </c>
      <c r="N199">
        <v>38</v>
      </c>
      <c r="O199">
        <v>7.34</v>
      </c>
      <c r="P199">
        <v>56.7</v>
      </c>
      <c r="Q199" s="55" t="s">
        <v>22</v>
      </c>
    </row>
    <row r="200" spans="1:17" x14ac:dyDescent="0.35">
      <c r="A200">
        <v>24</v>
      </c>
      <c r="B200">
        <v>8.83</v>
      </c>
      <c r="C200">
        <v>76.27</v>
      </c>
      <c r="D200" s="55" t="s">
        <v>10</v>
      </c>
      <c r="N200">
        <v>38</v>
      </c>
      <c r="O200">
        <v>7.21</v>
      </c>
      <c r="P200">
        <v>86.23</v>
      </c>
      <c r="Q200" s="55" t="s">
        <v>22</v>
      </c>
    </row>
    <row r="201" spans="1:17" x14ac:dyDescent="0.35">
      <c r="A201">
        <v>24</v>
      </c>
      <c r="B201">
        <v>7.07</v>
      </c>
      <c r="C201">
        <v>92.83</v>
      </c>
      <c r="D201" s="55" t="s">
        <v>10</v>
      </c>
      <c r="N201">
        <v>38</v>
      </c>
      <c r="O201">
        <v>8.39</v>
      </c>
      <c r="P201">
        <v>27.64</v>
      </c>
      <c r="Q201" s="55" t="s">
        <v>22</v>
      </c>
    </row>
    <row r="202" spans="1:17" x14ac:dyDescent="0.35">
      <c r="A202">
        <v>24</v>
      </c>
      <c r="B202">
        <v>4.66</v>
      </c>
      <c r="C202">
        <v>36.200000000000003</v>
      </c>
      <c r="D202" s="55" t="s">
        <v>10</v>
      </c>
      <c r="N202">
        <v>38</v>
      </c>
      <c r="O202">
        <v>8.75</v>
      </c>
      <c r="P202">
        <v>88.53</v>
      </c>
      <c r="Q202" s="55" t="s">
        <v>22</v>
      </c>
    </row>
    <row r="203" spans="1:17" x14ac:dyDescent="0.35">
      <c r="A203">
        <v>24</v>
      </c>
      <c r="B203">
        <v>9.02</v>
      </c>
      <c r="C203">
        <v>68.38</v>
      </c>
      <c r="D203" s="55" t="s">
        <v>10</v>
      </c>
      <c r="N203">
        <v>38</v>
      </c>
      <c r="O203">
        <v>4.57</v>
      </c>
      <c r="P203">
        <v>40.86</v>
      </c>
      <c r="Q203" s="55" t="s">
        <v>22</v>
      </c>
    </row>
    <row r="204" spans="1:17" x14ac:dyDescent="0.35">
      <c r="A204">
        <v>25</v>
      </c>
      <c r="B204">
        <v>4.88</v>
      </c>
      <c r="C204">
        <v>62.64</v>
      </c>
      <c r="D204" s="55" t="s">
        <v>10</v>
      </c>
      <c r="N204">
        <v>39</v>
      </c>
      <c r="O204">
        <v>5.47</v>
      </c>
      <c r="P204">
        <v>49.61</v>
      </c>
      <c r="Q204" s="55" t="s">
        <v>22</v>
      </c>
    </row>
    <row r="205" spans="1:17" x14ac:dyDescent="0.35">
      <c r="A205">
        <v>25</v>
      </c>
      <c r="B205">
        <v>6.28</v>
      </c>
      <c r="C205">
        <v>61.5</v>
      </c>
      <c r="D205" s="55" t="s">
        <v>10</v>
      </c>
      <c r="N205">
        <v>39</v>
      </c>
      <c r="O205">
        <v>8.02</v>
      </c>
      <c r="P205">
        <v>62.53</v>
      </c>
      <c r="Q205" s="55" t="s">
        <v>22</v>
      </c>
    </row>
    <row r="206" spans="1:17" x14ac:dyDescent="0.35">
      <c r="A206">
        <v>25</v>
      </c>
      <c r="B206">
        <v>12.5</v>
      </c>
      <c r="C206">
        <v>110.81</v>
      </c>
      <c r="D206" s="55" t="s">
        <v>10</v>
      </c>
      <c r="N206">
        <v>39</v>
      </c>
      <c r="O206">
        <v>8.93</v>
      </c>
      <c r="P206">
        <v>72.44</v>
      </c>
      <c r="Q206" s="55" t="s">
        <v>22</v>
      </c>
    </row>
    <row r="207" spans="1:17" x14ac:dyDescent="0.35">
      <c r="A207">
        <v>25</v>
      </c>
      <c r="B207">
        <v>4.32</v>
      </c>
      <c r="C207">
        <v>31.48</v>
      </c>
      <c r="D207" s="55" t="s">
        <v>10</v>
      </c>
      <c r="N207">
        <v>39</v>
      </c>
      <c r="O207">
        <v>5.38</v>
      </c>
      <c r="P207">
        <v>46.56</v>
      </c>
      <c r="Q207" s="55" t="s">
        <v>22</v>
      </c>
    </row>
    <row r="208" spans="1:17" x14ac:dyDescent="0.35">
      <c r="A208">
        <v>25</v>
      </c>
      <c r="B208">
        <v>5.48</v>
      </c>
      <c r="C208">
        <v>34.47</v>
      </c>
      <c r="D208" s="55" t="s">
        <v>10</v>
      </c>
      <c r="N208">
        <v>40</v>
      </c>
      <c r="O208">
        <v>4.4400000000000004</v>
      </c>
      <c r="P208">
        <v>24.63</v>
      </c>
      <c r="Q208" s="55" t="s">
        <v>22</v>
      </c>
    </row>
    <row r="209" spans="1:17" x14ac:dyDescent="0.35">
      <c r="A209">
        <v>25</v>
      </c>
      <c r="B209">
        <v>5.94</v>
      </c>
      <c r="C209">
        <v>100.07</v>
      </c>
      <c r="D209" s="55" t="s">
        <v>10</v>
      </c>
      <c r="N209">
        <v>40</v>
      </c>
      <c r="O209">
        <v>6.96</v>
      </c>
      <c r="P209">
        <v>63.5</v>
      </c>
      <c r="Q209" s="55" t="s">
        <v>22</v>
      </c>
    </row>
    <row r="210" spans="1:17" x14ac:dyDescent="0.35">
      <c r="A210">
        <v>25</v>
      </c>
      <c r="B210">
        <v>8.0399999999999991</v>
      </c>
      <c r="C210">
        <v>110.48</v>
      </c>
      <c r="D210" s="55" t="s">
        <v>10</v>
      </c>
      <c r="N210">
        <v>41</v>
      </c>
      <c r="O210">
        <v>8.68</v>
      </c>
      <c r="P210">
        <v>67.36</v>
      </c>
      <c r="Q210" s="55" t="s">
        <v>22</v>
      </c>
    </row>
    <row r="211" spans="1:17" x14ac:dyDescent="0.35">
      <c r="A211">
        <v>25</v>
      </c>
      <c r="B211">
        <v>7.37</v>
      </c>
      <c r="C211">
        <v>19.02</v>
      </c>
      <c r="D211" s="55" t="s">
        <v>10</v>
      </c>
      <c r="N211">
        <v>41</v>
      </c>
      <c r="O211">
        <v>9.23</v>
      </c>
      <c r="P211">
        <v>74.239999999999995</v>
      </c>
      <c r="Q211" s="55" t="s">
        <v>22</v>
      </c>
    </row>
    <row r="212" spans="1:17" x14ac:dyDescent="0.35">
      <c r="A212">
        <v>25</v>
      </c>
      <c r="B212">
        <v>4.99</v>
      </c>
      <c r="C212">
        <v>42.91</v>
      </c>
      <c r="D212" s="55" t="s">
        <v>10</v>
      </c>
      <c r="N212">
        <v>41</v>
      </c>
      <c r="O212">
        <v>5.14</v>
      </c>
      <c r="P212">
        <v>46.8</v>
      </c>
      <c r="Q212" s="55" t="s">
        <v>22</v>
      </c>
    </row>
    <row r="213" spans="1:17" x14ac:dyDescent="0.35">
      <c r="A213">
        <v>25</v>
      </c>
      <c r="B213">
        <v>4</v>
      </c>
      <c r="C213">
        <v>18.52</v>
      </c>
      <c r="D213" s="55" t="s">
        <v>10</v>
      </c>
      <c r="N213">
        <v>41</v>
      </c>
      <c r="O213">
        <v>7.05</v>
      </c>
      <c r="P213">
        <v>48.83</v>
      </c>
      <c r="Q213" s="55" t="s">
        <v>22</v>
      </c>
    </row>
    <row r="214" spans="1:17" x14ac:dyDescent="0.35">
      <c r="A214">
        <v>25</v>
      </c>
      <c r="B214">
        <v>8.5500000000000007</v>
      </c>
      <c r="C214">
        <v>37.83</v>
      </c>
      <c r="D214" s="55" t="s">
        <v>10</v>
      </c>
      <c r="N214">
        <v>42</v>
      </c>
      <c r="O214">
        <v>7.06</v>
      </c>
      <c r="P214">
        <v>86.68</v>
      </c>
      <c r="Q214" s="55" t="s">
        <v>22</v>
      </c>
    </row>
    <row r="215" spans="1:17" x14ac:dyDescent="0.35">
      <c r="A215">
        <v>25</v>
      </c>
      <c r="B215">
        <v>4.78</v>
      </c>
      <c r="C215">
        <v>67.87</v>
      </c>
      <c r="D215" s="55" t="s">
        <v>10</v>
      </c>
      <c r="N215">
        <v>42</v>
      </c>
      <c r="O215">
        <v>7.68</v>
      </c>
      <c r="P215">
        <v>70.06</v>
      </c>
      <c r="Q215" s="55" t="s">
        <v>22</v>
      </c>
    </row>
    <row r="216" spans="1:17" x14ac:dyDescent="0.35">
      <c r="A216">
        <v>25</v>
      </c>
      <c r="B216">
        <v>6.25</v>
      </c>
      <c r="C216">
        <v>59.23</v>
      </c>
      <c r="D216" s="55" t="s">
        <v>10</v>
      </c>
      <c r="N216">
        <v>42</v>
      </c>
      <c r="O216">
        <v>7.52</v>
      </c>
      <c r="P216">
        <v>54.57</v>
      </c>
      <c r="Q216" s="55" t="s">
        <v>22</v>
      </c>
    </row>
    <row r="217" spans="1:17" x14ac:dyDescent="0.35">
      <c r="A217">
        <v>25</v>
      </c>
      <c r="B217">
        <v>5.97</v>
      </c>
      <c r="C217">
        <v>49.48</v>
      </c>
      <c r="D217" s="55" t="s">
        <v>10</v>
      </c>
      <c r="N217">
        <v>43</v>
      </c>
      <c r="O217">
        <v>5.03</v>
      </c>
      <c r="P217">
        <v>41.59</v>
      </c>
      <c r="Q217" s="55" t="s">
        <v>22</v>
      </c>
    </row>
    <row r="218" spans="1:17" x14ac:dyDescent="0.35">
      <c r="A218">
        <v>25</v>
      </c>
      <c r="B218">
        <v>4.57</v>
      </c>
      <c r="C218">
        <v>45.88</v>
      </c>
      <c r="D218" s="55" t="s">
        <v>10</v>
      </c>
      <c r="N218">
        <v>43</v>
      </c>
      <c r="O218">
        <v>9.01</v>
      </c>
      <c r="P218">
        <v>61.06</v>
      </c>
      <c r="Q218" s="55" t="s">
        <v>22</v>
      </c>
    </row>
    <row r="219" spans="1:17" x14ac:dyDescent="0.35">
      <c r="A219">
        <v>25</v>
      </c>
      <c r="B219">
        <v>12</v>
      </c>
      <c r="C219">
        <v>83.21</v>
      </c>
      <c r="D219" s="55" t="s">
        <v>10</v>
      </c>
      <c r="N219">
        <v>43</v>
      </c>
      <c r="O219">
        <v>9.27</v>
      </c>
      <c r="P219">
        <v>63.57</v>
      </c>
      <c r="Q219" s="55" t="s">
        <v>22</v>
      </c>
    </row>
    <row r="220" spans="1:17" x14ac:dyDescent="0.35">
      <c r="A220">
        <v>25</v>
      </c>
      <c r="B220">
        <v>2.4</v>
      </c>
      <c r="C220">
        <v>48.14</v>
      </c>
      <c r="D220" s="55" t="s">
        <v>10</v>
      </c>
      <c r="N220">
        <v>43</v>
      </c>
      <c r="O220">
        <v>5.56</v>
      </c>
      <c r="P220">
        <v>43.2</v>
      </c>
      <c r="Q220" s="55" t="s">
        <v>22</v>
      </c>
    </row>
    <row r="221" spans="1:17" x14ac:dyDescent="0.35">
      <c r="A221">
        <v>25</v>
      </c>
      <c r="B221">
        <v>3.8</v>
      </c>
      <c r="C221">
        <v>44.87</v>
      </c>
      <c r="D221" s="55" t="s">
        <v>10</v>
      </c>
      <c r="N221">
        <v>43</v>
      </c>
      <c r="O221">
        <v>4.68</v>
      </c>
      <c r="P221">
        <v>50.07</v>
      </c>
      <c r="Q221" s="55" t="s">
        <v>22</v>
      </c>
    </row>
    <row r="222" spans="1:17" x14ac:dyDescent="0.35">
      <c r="A222">
        <v>26</v>
      </c>
      <c r="B222">
        <v>2.6</v>
      </c>
      <c r="C222">
        <v>43.26</v>
      </c>
      <c r="D222" s="55" t="s">
        <v>10</v>
      </c>
      <c r="N222">
        <v>44</v>
      </c>
      <c r="O222">
        <v>9.9600000000000009</v>
      </c>
      <c r="P222">
        <v>78.3</v>
      </c>
      <c r="Q222" s="55" t="s">
        <v>22</v>
      </c>
    </row>
    <row r="223" spans="1:17" x14ac:dyDescent="0.35">
      <c r="A223">
        <v>26</v>
      </c>
      <c r="B223">
        <v>9.3000000000000007</v>
      </c>
      <c r="C223">
        <v>78.83</v>
      </c>
      <c r="D223" s="55" t="s">
        <v>10</v>
      </c>
      <c r="N223">
        <v>44</v>
      </c>
      <c r="O223">
        <v>6.44</v>
      </c>
      <c r="P223">
        <v>95.27</v>
      </c>
      <c r="Q223" s="55" t="s">
        <v>22</v>
      </c>
    </row>
    <row r="224" spans="1:17" x14ac:dyDescent="0.35">
      <c r="A224">
        <v>26</v>
      </c>
      <c r="B224">
        <v>6.82</v>
      </c>
      <c r="C224">
        <v>51.97</v>
      </c>
      <c r="D224" s="55" t="s">
        <v>10</v>
      </c>
      <c r="N224">
        <v>45</v>
      </c>
      <c r="O224">
        <v>8.7100000000000009</v>
      </c>
      <c r="P224">
        <v>73.91</v>
      </c>
      <c r="Q224" s="55" t="s">
        <v>22</v>
      </c>
    </row>
    <row r="225" spans="1:17" x14ac:dyDescent="0.35">
      <c r="A225">
        <v>26</v>
      </c>
      <c r="B225">
        <v>5.31</v>
      </c>
      <c r="C225">
        <v>52.1</v>
      </c>
      <c r="D225" s="55" t="s">
        <v>10</v>
      </c>
      <c r="N225">
        <v>45</v>
      </c>
      <c r="O225">
        <v>4.59</v>
      </c>
      <c r="P225">
        <v>44.25</v>
      </c>
      <c r="Q225" s="55" t="s">
        <v>22</v>
      </c>
    </row>
    <row r="226" spans="1:17" x14ac:dyDescent="0.35">
      <c r="A226">
        <v>26</v>
      </c>
      <c r="B226">
        <v>3.2</v>
      </c>
      <c r="C226">
        <v>6.97</v>
      </c>
      <c r="D226" s="55" t="s">
        <v>10</v>
      </c>
      <c r="N226">
        <v>46</v>
      </c>
      <c r="O226">
        <v>7.22</v>
      </c>
      <c r="P226">
        <v>61.92</v>
      </c>
      <c r="Q226" s="55" t="s">
        <v>22</v>
      </c>
    </row>
    <row r="227" spans="1:17" x14ac:dyDescent="0.35">
      <c r="A227">
        <v>26</v>
      </c>
      <c r="B227">
        <v>8.91</v>
      </c>
      <c r="C227">
        <v>47.3</v>
      </c>
      <c r="D227" s="55" t="s">
        <v>10</v>
      </c>
      <c r="N227">
        <v>46</v>
      </c>
      <c r="O227">
        <v>9.93</v>
      </c>
      <c r="P227">
        <v>80.16</v>
      </c>
      <c r="Q227" s="55" t="s">
        <v>22</v>
      </c>
    </row>
    <row r="228" spans="1:17" x14ac:dyDescent="0.35">
      <c r="A228">
        <v>26</v>
      </c>
      <c r="B228">
        <v>9.68</v>
      </c>
      <c r="C228">
        <v>132.72999999999999</v>
      </c>
      <c r="D228" s="55" t="s">
        <v>10</v>
      </c>
      <c r="N228">
        <v>47</v>
      </c>
      <c r="O228">
        <v>7.59</v>
      </c>
      <c r="P228">
        <v>83.57</v>
      </c>
      <c r="Q228" s="55" t="s">
        <v>22</v>
      </c>
    </row>
    <row r="229" spans="1:17" x14ac:dyDescent="0.35">
      <c r="A229">
        <v>26</v>
      </c>
      <c r="B229">
        <v>11.8</v>
      </c>
      <c r="C229">
        <v>105.6</v>
      </c>
      <c r="D229" s="55" t="s">
        <v>10</v>
      </c>
      <c r="N229">
        <v>47</v>
      </c>
      <c r="O229">
        <v>5.23</v>
      </c>
      <c r="P229">
        <v>40.19</v>
      </c>
      <c r="Q229" s="55" t="s">
        <v>22</v>
      </c>
    </row>
    <row r="230" spans="1:17" x14ac:dyDescent="0.35">
      <c r="A230">
        <v>26</v>
      </c>
      <c r="B230">
        <v>10</v>
      </c>
      <c r="C230">
        <v>98.34</v>
      </c>
      <c r="D230" s="55" t="s">
        <v>10</v>
      </c>
      <c r="N230">
        <v>47</v>
      </c>
      <c r="O230">
        <v>9.2100000000000009</v>
      </c>
      <c r="P230">
        <v>62.31</v>
      </c>
      <c r="Q230" s="55" t="s">
        <v>22</v>
      </c>
    </row>
    <row r="231" spans="1:17" x14ac:dyDescent="0.35">
      <c r="A231">
        <v>26</v>
      </c>
      <c r="B231">
        <v>5.3</v>
      </c>
      <c r="C231">
        <v>30.67</v>
      </c>
      <c r="D231" s="55" t="s">
        <v>10</v>
      </c>
      <c r="N231">
        <v>47</v>
      </c>
      <c r="O231">
        <v>6.36</v>
      </c>
      <c r="P231">
        <v>67.44</v>
      </c>
      <c r="Q231" s="55" t="s">
        <v>22</v>
      </c>
    </row>
    <row r="232" spans="1:17" x14ac:dyDescent="0.35">
      <c r="A232">
        <v>26</v>
      </c>
      <c r="B232">
        <v>7.81</v>
      </c>
      <c r="C232">
        <v>71.47</v>
      </c>
      <c r="D232" s="55" t="s">
        <v>10</v>
      </c>
      <c r="N232">
        <v>47</v>
      </c>
      <c r="O232">
        <v>5.03</v>
      </c>
      <c r="P232">
        <v>31.21</v>
      </c>
      <c r="Q232" s="55" t="s">
        <v>22</v>
      </c>
    </row>
    <row r="233" spans="1:17" x14ac:dyDescent="0.35">
      <c r="A233">
        <v>27</v>
      </c>
      <c r="B233">
        <v>5.22</v>
      </c>
      <c r="C233">
        <v>28.76</v>
      </c>
      <c r="D233" s="55" t="s">
        <v>10</v>
      </c>
      <c r="N233">
        <v>48</v>
      </c>
      <c r="O233">
        <v>9.58</v>
      </c>
      <c r="P233">
        <v>77.38</v>
      </c>
      <c r="Q233" s="55" t="s">
        <v>22</v>
      </c>
    </row>
    <row r="234" spans="1:17" x14ac:dyDescent="0.35">
      <c r="A234">
        <v>27</v>
      </c>
      <c r="B234">
        <v>5.05</v>
      </c>
      <c r="C234">
        <v>73.69</v>
      </c>
      <c r="D234" s="55" t="s">
        <v>10</v>
      </c>
      <c r="N234">
        <v>48</v>
      </c>
      <c r="O234">
        <v>6.09</v>
      </c>
      <c r="P234">
        <v>65.209999999999994</v>
      </c>
      <c r="Q234" s="55" t="s">
        <v>22</v>
      </c>
    </row>
    <row r="235" spans="1:17" x14ac:dyDescent="0.35">
      <c r="A235">
        <v>27</v>
      </c>
      <c r="B235">
        <v>6.47</v>
      </c>
      <c r="C235">
        <v>36.21</v>
      </c>
      <c r="D235" s="55" t="s">
        <v>10</v>
      </c>
      <c r="N235">
        <v>49</v>
      </c>
      <c r="O235">
        <v>6.76</v>
      </c>
      <c r="P235">
        <v>59.39</v>
      </c>
      <c r="Q235" s="55" t="s">
        <v>22</v>
      </c>
    </row>
    <row r="236" spans="1:17" x14ac:dyDescent="0.35">
      <c r="A236">
        <v>27</v>
      </c>
      <c r="B236">
        <v>4.1100000000000003</v>
      </c>
      <c r="C236">
        <v>36.31</v>
      </c>
      <c r="D236" s="55" t="s">
        <v>10</v>
      </c>
      <c r="N236">
        <v>51</v>
      </c>
      <c r="O236">
        <v>5.25</v>
      </c>
      <c r="P236">
        <v>44.82</v>
      </c>
      <c r="Q236" s="55" t="s">
        <v>22</v>
      </c>
    </row>
    <row r="237" spans="1:17" x14ac:dyDescent="0.35">
      <c r="A237">
        <v>27</v>
      </c>
      <c r="B237">
        <v>11.4</v>
      </c>
      <c r="C237">
        <v>56.37</v>
      </c>
      <c r="D237" s="55" t="s">
        <v>10</v>
      </c>
      <c r="N237">
        <v>51</v>
      </c>
      <c r="O237">
        <v>6.86</v>
      </c>
      <c r="P237">
        <v>74.760000000000005</v>
      </c>
      <c r="Q237" s="55" t="s">
        <v>22</v>
      </c>
    </row>
    <row r="238" spans="1:17" x14ac:dyDescent="0.35">
      <c r="A238">
        <v>27</v>
      </c>
      <c r="B238">
        <v>8.41</v>
      </c>
      <c r="C238">
        <v>54.49</v>
      </c>
      <c r="D238" s="55" t="s">
        <v>10</v>
      </c>
      <c r="N238">
        <v>52</v>
      </c>
      <c r="O238">
        <v>6.17</v>
      </c>
      <c r="P238">
        <v>55.46</v>
      </c>
      <c r="Q238" s="55" t="s">
        <v>22</v>
      </c>
    </row>
    <row r="239" spans="1:17" x14ac:dyDescent="0.35">
      <c r="A239">
        <v>27</v>
      </c>
      <c r="B239">
        <v>1.6</v>
      </c>
      <c r="C239">
        <v>38.61</v>
      </c>
      <c r="D239" s="55" t="s">
        <v>10</v>
      </c>
      <c r="N239">
        <v>53</v>
      </c>
      <c r="O239">
        <v>8.7200000000000006</v>
      </c>
      <c r="P239">
        <v>70.61</v>
      </c>
      <c r="Q239" s="55" t="s">
        <v>22</v>
      </c>
    </row>
    <row r="240" spans="1:17" x14ac:dyDescent="0.35">
      <c r="A240">
        <v>27</v>
      </c>
      <c r="B240">
        <v>6.5</v>
      </c>
      <c r="C240">
        <v>44.27</v>
      </c>
      <c r="D240" s="55" t="s">
        <v>10</v>
      </c>
      <c r="N240">
        <v>54</v>
      </c>
      <c r="O240">
        <v>4.32</v>
      </c>
      <c r="P240">
        <v>41.82</v>
      </c>
      <c r="Q240" s="55" t="s">
        <v>22</v>
      </c>
    </row>
    <row r="241" spans="1:17" x14ac:dyDescent="0.35">
      <c r="A241">
        <v>27</v>
      </c>
      <c r="B241">
        <v>11.3</v>
      </c>
      <c r="C241">
        <v>92.43</v>
      </c>
      <c r="D241" s="55" t="s">
        <v>10</v>
      </c>
      <c r="N241">
        <v>54</v>
      </c>
      <c r="O241">
        <v>7.58</v>
      </c>
      <c r="P241">
        <v>44.09</v>
      </c>
      <c r="Q241" s="55" t="s">
        <v>22</v>
      </c>
    </row>
    <row r="242" spans="1:17" x14ac:dyDescent="0.35">
      <c r="A242">
        <v>27</v>
      </c>
      <c r="B242">
        <v>9.7799999999999994</v>
      </c>
      <c r="C242">
        <v>109.79</v>
      </c>
      <c r="D242" s="55" t="s">
        <v>10</v>
      </c>
      <c r="N242">
        <v>58</v>
      </c>
      <c r="O242">
        <v>5.36</v>
      </c>
      <c r="P242">
        <v>53.2</v>
      </c>
      <c r="Q242" s="55" t="s">
        <v>22</v>
      </c>
    </row>
    <row r="243" spans="1:17" x14ac:dyDescent="0.35">
      <c r="A243">
        <v>28</v>
      </c>
      <c r="B243">
        <v>9.27</v>
      </c>
      <c r="C243">
        <v>81.64</v>
      </c>
      <c r="D243" s="55" t="s">
        <v>10</v>
      </c>
      <c r="N243">
        <v>59</v>
      </c>
      <c r="O243">
        <v>8.5399999999999991</v>
      </c>
      <c r="P243">
        <v>42.33</v>
      </c>
      <c r="Q243" s="55" t="s">
        <v>22</v>
      </c>
    </row>
    <row r="244" spans="1:17" x14ac:dyDescent="0.35">
      <c r="A244">
        <v>28</v>
      </c>
      <c r="B244">
        <v>12.3</v>
      </c>
      <c r="C244">
        <v>103.88</v>
      </c>
      <c r="D244" s="55" t="s">
        <v>10</v>
      </c>
      <c r="N244">
        <v>60</v>
      </c>
      <c r="O244">
        <v>4.6900000000000004</v>
      </c>
      <c r="P244">
        <v>46.24</v>
      </c>
      <c r="Q244" s="55" t="s">
        <v>22</v>
      </c>
    </row>
    <row r="245" spans="1:17" x14ac:dyDescent="0.35">
      <c r="A245">
        <v>28</v>
      </c>
      <c r="B245">
        <v>7.27</v>
      </c>
      <c r="C245">
        <v>33.450000000000003</v>
      </c>
      <c r="D245" s="55" t="s">
        <v>10</v>
      </c>
      <c r="N245">
        <v>62</v>
      </c>
      <c r="O245">
        <v>9.91</v>
      </c>
      <c r="P245">
        <v>77.400000000000006</v>
      </c>
      <c r="Q245" s="55" t="s">
        <v>22</v>
      </c>
    </row>
    <row r="246" spans="1:17" x14ac:dyDescent="0.35">
      <c r="A246">
        <v>28</v>
      </c>
      <c r="B246">
        <v>7.58</v>
      </c>
      <c r="C246">
        <v>54.71</v>
      </c>
      <c r="D246" s="55" t="s">
        <v>10</v>
      </c>
      <c r="N246">
        <v>63</v>
      </c>
      <c r="O246">
        <v>8.5500000000000007</v>
      </c>
      <c r="P246">
        <v>39.17</v>
      </c>
      <c r="Q246" s="55" t="s">
        <v>22</v>
      </c>
    </row>
    <row r="247" spans="1:17" x14ac:dyDescent="0.35">
      <c r="A247">
        <v>28</v>
      </c>
      <c r="B247">
        <v>9.8699999999999992</v>
      </c>
      <c r="C247">
        <v>77.92</v>
      </c>
      <c r="D247" s="55" t="s">
        <v>10</v>
      </c>
      <c r="N247">
        <v>67</v>
      </c>
      <c r="O247">
        <v>5.34</v>
      </c>
      <c r="P247">
        <v>70.22</v>
      </c>
      <c r="Q247" s="55" t="s">
        <v>22</v>
      </c>
    </row>
    <row r="248" spans="1:17" x14ac:dyDescent="0.35">
      <c r="A248">
        <v>28</v>
      </c>
      <c r="B248">
        <v>6.93</v>
      </c>
      <c r="C248">
        <v>71.62</v>
      </c>
      <c r="D248" s="55" t="s">
        <v>10</v>
      </c>
      <c r="N248">
        <v>67</v>
      </c>
      <c r="O248">
        <v>4.17</v>
      </c>
      <c r="P248">
        <v>38.17</v>
      </c>
      <c r="Q248" s="55" t="s">
        <v>22</v>
      </c>
    </row>
    <row r="249" spans="1:17" x14ac:dyDescent="0.35">
      <c r="A249">
        <v>28</v>
      </c>
      <c r="B249">
        <v>4.1399999999999997</v>
      </c>
      <c r="C249">
        <v>22.54</v>
      </c>
      <c r="D249" s="55" t="s">
        <v>10</v>
      </c>
    </row>
    <row r="250" spans="1:17" x14ac:dyDescent="0.35">
      <c r="A250">
        <v>28</v>
      </c>
      <c r="B250">
        <v>4.3899999999999997</v>
      </c>
      <c r="C250">
        <v>35.26</v>
      </c>
      <c r="D250" s="55" t="s">
        <v>10</v>
      </c>
    </row>
    <row r="251" spans="1:17" x14ac:dyDescent="0.35">
      <c r="A251">
        <v>29</v>
      </c>
      <c r="B251">
        <v>5.88</v>
      </c>
      <c r="C251">
        <v>51.43</v>
      </c>
      <c r="D251" s="55" t="s">
        <v>10</v>
      </c>
    </row>
    <row r="252" spans="1:17" x14ac:dyDescent="0.35">
      <c r="A252">
        <v>29</v>
      </c>
      <c r="B252">
        <v>4.1500000000000004</v>
      </c>
      <c r="C252">
        <v>20.84</v>
      </c>
      <c r="D252" s="55" t="s">
        <v>10</v>
      </c>
    </row>
    <row r="253" spans="1:17" x14ac:dyDescent="0.35">
      <c r="A253">
        <v>29</v>
      </c>
      <c r="B253">
        <v>6.32</v>
      </c>
      <c r="C253">
        <v>73.260000000000005</v>
      </c>
      <c r="D253" s="55" t="s">
        <v>10</v>
      </c>
    </row>
    <row r="254" spans="1:17" x14ac:dyDescent="0.35">
      <c r="A254">
        <v>29</v>
      </c>
      <c r="B254">
        <v>7.9</v>
      </c>
      <c r="C254">
        <v>41.49</v>
      </c>
      <c r="D254" s="55" t="s">
        <v>10</v>
      </c>
    </row>
    <row r="255" spans="1:17" x14ac:dyDescent="0.35">
      <c r="A255">
        <v>29</v>
      </c>
      <c r="B255">
        <v>8.2899999999999991</v>
      </c>
      <c r="C255">
        <v>50.65</v>
      </c>
      <c r="D255" s="55" t="s">
        <v>10</v>
      </c>
    </row>
    <row r="256" spans="1:17" x14ac:dyDescent="0.35">
      <c r="A256">
        <v>29</v>
      </c>
      <c r="B256">
        <v>4.8499999999999996</v>
      </c>
      <c r="C256">
        <v>59.93</v>
      </c>
      <c r="D256" s="55" t="s">
        <v>10</v>
      </c>
    </row>
    <row r="257" spans="1:4" x14ac:dyDescent="0.35">
      <c r="A257">
        <v>29</v>
      </c>
      <c r="B257">
        <v>2.67</v>
      </c>
      <c r="C257">
        <v>25.28</v>
      </c>
      <c r="D257" s="55" t="s">
        <v>10</v>
      </c>
    </row>
    <row r="258" spans="1:4" x14ac:dyDescent="0.35">
      <c r="A258">
        <v>29</v>
      </c>
      <c r="B258">
        <v>2.9</v>
      </c>
      <c r="C258">
        <v>26.05</v>
      </c>
      <c r="D258" s="55" t="s">
        <v>10</v>
      </c>
    </row>
    <row r="259" spans="1:4" x14ac:dyDescent="0.35">
      <c r="A259">
        <v>29</v>
      </c>
      <c r="B259">
        <v>6.27</v>
      </c>
      <c r="C259">
        <v>59.31</v>
      </c>
      <c r="D259" s="55" t="s">
        <v>10</v>
      </c>
    </row>
    <row r="260" spans="1:4" x14ac:dyDescent="0.35">
      <c r="A260">
        <v>29</v>
      </c>
      <c r="B260">
        <v>6.91</v>
      </c>
      <c r="C260">
        <v>76.37</v>
      </c>
      <c r="D260" s="55" t="s">
        <v>10</v>
      </c>
    </row>
    <row r="261" spans="1:4" x14ac:dyDescent="0.35">
      <c r="A261">
        <v>29</v>
      </c>
      <c r="B261">
        <v>12.2</v>
      </c>
      <c r="C261">
        <v>57.01</v>
      </c>
      <c r="D261" s="55" t="s">
        <v>10</v>
      </c>
    </row>
    <row r="262" spans="1:4" x14ac:dyDescent="0.35">
      <c r="A262">
        <v>30</v>
      </c>
      <c r="B262">
        <v>2</v>
      </c>
      <c r="C262">
        <v>32.700000000000003</v>
      </c>
      <c r="D262" s="55" t="s">
        <v>10</v>
      </c>
    </row>
    <row r="263" spans="1:4" x14ac:dyDescent="0.35">
      <c r="A263">
        <v>30</v>
      </c>
      <c r="B263">
        <v>6.15</v>
      </c>
      <c r="C263">
        <v>48.99</v>
      </c>
      <c r="D263" s="55" t="s">
        <v>10</v>
      </c>
    </row>
    <row r="264" spans="1:4" x14ac:dyDescent="0.35">
      <c r="A264">
        <v>30</v>
      </c>
      <c r="B264">
        <v>3.7</v>
      </c>
      <c r="C264">
        <v>12.65</v>
      </c>
      <c r="D264" s="55" t="s">
        <v>10</v>
      </c>
    </row>
    <row r="265" spans="1:4" x14ac:dyDescent="0.35">
      <c r="A265">
        <v>30</v>
      </c>
      <c r="B265">
        <v>8.6</v>
      </c>
      <c r="C265">
        <v>42.69</v>
      </c>
      <c r="D265" s="55" t="s">
        <v>10</v>
      </c>
    </row>
    <row r="266" spans="1:4" x14ac:dyDescent="0.35">
      <c r="A266">
        <v>30</v>
      </c>
      <c r="B266">
        <v>12.1</v>
      </c>
      <c r="C266">
        <v>92.08</v>
      </c>
      <c r="D266" s="55" t="s">
        <v>10</v>
      </c>
    </row>
    <row r="267" spans="1:4" x14ac:dyDescent="0.35">
      <c r="A267">
        <v>30</v>
      </c>
      <c r="B267">
        <v>12.2</v>
      </c>
      <c r="C267">
        <v>79.36</v>
      </c>
      <c r="D267" s="55" t="s">
        <v>10</v>
      </c>
    </row>
    <row r="268" spans="1:4" x14ac:dyDescent="0.35">
      <c r="A268">
        <v>30</v>
      </c>
      <c r="B268">
        <v>7.18</v>
      </c>
      <c r="C268">
        <v>22.58</v>
      </c>
      <c r="D268" s="55" t="s">
        <v>10</v>
      </c>
    </row>
    <row r="269" spans="1:4" x14ac:dyDescent="0.35">
      <c r="A269">
        <v>30</v>
      </c>
      <c r="B269">
        <v>8.27</v>
      </c>
      <c r="C269">
        <v>46.56</v>
      </c>
      <c r="D269" s="55" t="s">
        <v>10</v>
      </c>
    </row>
    <row r="270" spans="1:4" x14ac:dyDescent="0.35">
      <c r="A270">
        <v>30</v>
      </c>
      <c r="B270">
        <v>9.24</v>
      </c>
      <c r="C270">
        <v>77.36</v>
      </c>
      <c r="D270" s="55" t="s">
        <v>10</v>
      </c>
    </row>
    <row r="271" spans="1:4" x14ac:dyDescent="0.35">
      <c r="A271">
        <v>30</v>
      </c>
      <c r="B271">
        <v>8.44</v>
      </c>
      <c r="C271">
        <v>64.36</v>
      </c>
      <c r="D271" s="55" t="s">
        <v>10</v>
      </c>
    </row>
    <row r="272" spans="1:4" x14ac:dyDescent="0.35">
      <c r="A272">
        <v>31</v>
      </c>
      <c r="B272">
        <v>4.83</v>
      </c>
      <c r="C272">
        <v>39.82</v>
      </c>
      <c r="D272" s="55" t="s">
        <v>10</v>
      </c>
    </row>
    <row r="273" spans="1:4" x14ac:dyDescent="0.35">
      <c r="A273">
        <v>31</v>
      </c>
      <c r="B273">
        <v>6.34</v>
      </c>
      <c r="C273">
        <v>56.08</v>
      </c>
      <c r="D273" s="55" t="s">
        <v>10</v>
      </c>
    </row>
    <row r="274" spans="1:4" x14ac:dyDescent="0.35">
      <c r="A274">
        <v>31</v>
      </c>
      <c r="B274">
        <v>7.46</v>
      </c>
      <c r="C274">
        <v>52.4</v>
      </c>
      <c r="D274" s="55" t="s">
        <v>10</v>
      </c>
    </row>
    <row r="275" spans="1:4" x14ac:dyDescent="0.35">
      <c r="A275">
        <v>31</v>
      </c>
      <c r="B275">
        <v>8.94</v>
      </c>
      <c r="C275">
        <v>49.92</v>
      </c>
      <c r="D275" s="55" t="s">
        <v>10</v>
      </c>
    </row>
    <row r="276" spans="1:4" x14ac:dyDescent="0.35">
      <c r="A276">
        <v>31</v>
      </c>
      <c r="B276">
        <v>7.3</v>
      </c>
      <c r="C276">
        <v>63.35</v>
      </c>
      <c r="D276" s="55" t="s">
        <v>10</v>
      </c>
    </row>
    <row r="277" spans="1:4" x14ac:dyDescent="0.35">
      <c r="A277">
        <v>31</v>
      </c>
      <c r="B277">
        <v>9</v>
      </c>
      <c r="C277">
        <v>60.12</v>
      </c>
      <c r="D277" s="55" t="s">
        <v>10</v>
      </c>
    </row>
    <row r="278" spans="1:4" x14ac:dyDescent="0.35">
      <c r="A278">
        <v>31</v>
      </c>
      <c r="B278">
        <v>9.84</v>
      </c>
      <c r="C278">
        <v>108.17</v>
      </c>
      <c r="D278" s="55" t="s">
        <v>10</v>
      </c>
    </row>
    <row r="279" spans="1:4" x14ac:dyDescent="0.35">
      <c r="A279">
        <v>31</v>
      </c>
      <c r="B279">
        <v>11.6</v>
      </c>
      <c r="C279">
        <v>95.39</v>
      </c>
      <c r="D279" s="55" t="s">
        <v>10</v>
      </c>
    </row>
    <row r="280" spans="1:4" x14ac:dyDescent="0.35">
      <c r="A280">
        <v>32</v>
      </c>
      <c r="B280">
        <v>8.8000000000000007</v>
      </c>
      <c r="C280">
        <v>115.37</v>
      </c>
      <c r="D280" s="55" t="s">
        <v>10</v>
      </c>
    </row>
    <row r="281" spans="1:4" x14ac:dyDescent="0.35">
      <c r="A281">
        <v>32</v>
      </c>
      <c r="B281">
        <v>7.19</v>
      </c>
      <c r="C281">
        <v>48.4</v>
      </c>
      <c r="D281" s="55" t="s">
        <v>10</v>
      </c>
    </row>
    <row r="282" spans="1:4" x14ac:dyDescent="0.35">
      <c r="A282">
        <v>32</v>
      </c>
      <c r="B282">
        <v>7.3</v>
      </c>
      <c r="C282">
        <v>101.92</v>
      </c>
      <c r="D282" s="55" t="s">
        <v>10</v>
      </c>
    </row>
    <row r="283" spans="1:4" x14ac:dyDescent="0.35">
      <c r="A283">
        <v>32</v>
      </c>
      <c r="B283">
        <v>7.38</v>
      </c>
      <c r="C283">
        <v>75.75</v>
      </c>
      <c r="D283" s="55" t="s">
        <v>10</v>
      </c>
    </row>
    <row r="284" spans="1:4" x14ac:dyDescent="0.35">
      <c r="A284">
        <v>32</v>
      </c>
      <c r="B284">
        <v>8.68</v>
      </c>
      <c r="C284">
        <v>89.26</v>
      </c>
      <c r="D284" s="55" t="s">
        <v>10</v>
      </c>
    </row>
    <row r="285" spans="1:4" x14ac:dyDescent="0.35">
      <c r="A285">
        <v>32</v>
      </c>
      <c r="B285">
        <v>7.48</v>
      </c>
      <c r="C285">
        <v>49.8</v>
      </c>
      <c r="D285" s="55" t="s">
        <v>10</v>
      </c>
    </row>
    <row r="286" spans="1:4" x14ac:dyDescent="0.35">
      <c r="A286">
        <v>32</v>
      </c>
      <c r="B286">
        <v>4.3099999999999996</v>
      </c>
      <c r="C286">
        <v>33.97</v>
      </c>
      <c r="D286" s="55" t="s">
        <v>10</v>
      </c>
    </row>
    <row r="287" spans="1:4" x14ac:dyDescent="0.35">
      <c r="A287">
        <v>32</v>
      </c>
      <c r="B287">
        <v>6.31</v>
      </c>
      <c r="C287">
        <v>21.73</v>
      </c>
      <c r="D287" s="55" t="s">
        <v>10</v>
      </c>
    </row>
    <row r="288" spans="1:4" x14ac:dyDescent="0.35">
      <c r="A288">
        <v>32</v>
      </c>
      <c r="B288">
        <v>6.24</v>
      </c>
      <c r="C288">
        <v>54.93</v>
      </c>
      <c r="D288" s="55" t="s">
        <v>10</v>
      </c>
    </row>
    <row r="289" spans="1:4" x14ac:dyDescent="0.35">
      <c r="A289">
        <v>32</v>
      </c>
      <c r="B289">
        <v>9.74</v>
      </c>
      <c r="C289">
        <v>89.32</v>
      </c>
      <c r="D289" s="55" t="s">
        <v>10</v>
      </c>
    </row>
    <row r="290" spans="1:4" x14ac:dyDescent="0.35">
      <c r="A290">
        <v>32</v>
      </c>
      <c r="B290">
        <v>8</v>
      </c>
      <c r="C290">
        <v>62.46</v>
      </c>
      <c r="D290" s="55" t="s">
        <v>10</v>
      </c>
    </row>
    <row r="291" spans="1:4" x14ac:dyDescent="0.35">
      <c r="A291">
        <v>33</v>
      </c>
      <c r="B291">
        <v>8.6199999999999992</v>
      </c>
      <c r="C291">
        <v>71.040000000000006</v>
      </c>
      <c r="D291" s="55" t="s">
        <v>10</v>
      </c>
    </row>
    <row r="292" spans="1:4" x14ac:dyDescent="0.35">
      <c r="A292">
        <v>33</v>
      </c>
      <c r="B292">
        <v>11</v>
      </c>
      <c r="C292">
        <v>63.32</v>
      </c>
      <c r="D292" s="55" t="s">
        <v>10</v>
      </c>
    </row>
    <row r="293" spans="1:4" x14ac:dyDescent="0.35">
      <c r="A293">
        <v>33</v>
      </c>
      <c r="B293">
        <v>11.9</v>
      </c>
      <c r="C293">
        <v>114.96</v>
      </c>
      <c r="D293" s="55" t="s">
        <v>10</v>
      </c>
    </row>
    <row r="294" spans="1:4" x14ac:dyDescent="0.35">
      <c r="A294">
        <v>33</v>
      </c>
      <c r="B294">
        <v>5.91</v>
      </c>
      <c r="C294">
        <v>54.85</v>
      </c>
      <c r="D294" s="55" t="s">
        <v>10</v>
      </c>
    </row>
    <row r="295" spans="1:4" x14ac:dyDescent="0.35">
      <c r="A295">
        <v>34</v>
      </c>
      <c r="B295">
        <v>8.89</v>
      </c>
      <c r="C295">
        <v>85.79</v>
      </c>
      <c r="D295" s="55" t="s">
        <v>10</v>
      </c>
    </row>
    <row r="296" spans="1:4" x14ac:dyDescent="0.35">
      <c r="A296">
        <v>34</v>
      </c>
      <c r="B296">
        <v>5.59</v>
      </c>
      <c r="C296">
        <v>58.41</v>
      </c>
      <c r="D296" s="55" t="s">
        <v>10</v>
      </c>
    </row>
    <row r="297" spans="1:4" x14ac:dyDescent="0.35">
      <c r="A297">
        <v>34</v>
      </c>
      <c r="B297">
        <v>8.41</v>
      </c>
      <c r="C297">
        <v>8.69</v>
      </c>
      <c r="D297" s="55" t="s">
        <v>10</v>
      </c>
    </row>
    <row r="298" spans="1:4" x14ac:dyDescent="0.35">
      <c r="A298">
        <v>34</v>
      </c>
      <c r="B298">
        <v>6.25</v>
      </c>
      <c r="C298">
        <v>35.03</v>
      </c>
      <c r="D298" s="55" t="s">
        <v>10</v>
      </c>
    </row>
    <row r="299" spans="1:4" x14ac:dyDescent="0.35">
      <c r="A299">
        <v>34</v>
      </c>
      <c r="B299">
        <v>2</v>
      </c>
      <c r="C299">
        <v>19.010000000000002</v>
      </c>
      <c r="D299" s="55" t="s">
        <v>10</v>
      </c>
    </row>
    <row r="300" spans="1:4" x14ac:dyDescent="0.35">
      <c r="A300">
        <v>34</v>
      </c>
      <c r="B300">
        <v>9.99</v>
      </c>
      <c r="C300">
        <v>92.22</v>
      </c>
      <c r="D300" s="55" t="s">
        <v>10</v>
      </c>
    </row>
    <row r="301" spans="1:4" x14ac:dyDescent="0.35">
      <c r="A301">
        <v>35</v>
      </c>
      <c r="B301">
        <v>7.46</v>
      </c>
      <c r="C301">
        <v>55.88</v>
      </c>
      <c r="D301" s="55" t="s">
        <v>10</v>
      </c>
    </row>
    <row r="302" spans="1:4" x14ac:dyDescent="0.35">
      <c r="A302">
        <v>35</v>
      </c>
      <c r="B302">
        <v>5.58</v>
      </c>
      <c r="C302">
        <v>74.44</v>
      </c>
      <c r="D302" s="55" t="s">
        <v>10</v>
      </c>
    </row>
    <row r="303" spans="1:4" x14ac:dyDescent="0.35">
      <c r="A303">
        <v>35</v>
      </c>
      <c r="B303">
        <v>9.56</v>
      </c>
      <c r="C303">
        <v>67.12</v>
      </c>
      <c r="D303" s="55" t="s">
        <v>10</v>
      </c>
    </row>
    <row r="304" spans="1:4" x14ac:dyDescent="0.35">
      <c r="A304">
        <v>35</v>
      </c>
      <c r="B304">
        <v>8.74</v>
      </c>
      <c r="C304">
        <v>72.92</v>
      </c>
      <c r="D304" s="55" t="s">
        <v>10</v>
      </c>
    </row>
    <row r="305" spans="1:4" x14ac:dyDescent="0.35">
      <c r="A305">
        <v>35</v>
      </c>
      <c r="B305">
        <v>9.33</v>
      </c>
      <c r="C305">
        <v>84.48</v>
      </c>
      <c r="D305" s="55" t="s">
        <v>10</v>
      </c>
    </row>
    <row r="306" spans="1:4" x14ac:dyDescent="0.35">
      <c r="A306">
        <v>35</v>
      </c>
      <c r="B306">
        <v>5.05</v>
      </c>
      <c r="C306">
        <v>74.09</v>
      </c>
      <c r="D306" s="55" t="s">
        <v>10</v>
      </c>
    </row>
    <row r="307" spans="1:4" x14ac:dyDescent="0.35">
      <c r="A307">
        <v>35</v>
      </c>
      <c r="B307">
        <v>6.33</v>
      </c>
      <c r="C307">
        <v>47.69</v>
      </c>
      <c r="D307" s="55" t="s">
        <v>10</v>
      </c>
    </row>
    <row r="308" spans="1:4" x14ac:dyDescent="0.35">
      <c r="A308">
        <v>35</v>
      </c>
      <c r="B308">
        <v>12.4</v>
      </c>
      <c r="C308">
        <v>109.42</v>
      </c>
      <c r="D308" s="55" t="s">
        <v>10</v>
      </c>
    </row>
    <row r="309" spans="1:4" x14ac:dyDescent="0.35">
      <c r="A309">
        <v>35</v>
      </c>
      <c r="B309">
        <v>8.08</v>
      </c>
      <c r="C309">
        <v>53.62</v>
      </c>
      <c r="D309" s="55" t="s">
        <v>10</v>
      </c>
    </row>
    <row r="310" spans="1:4" x14ac:dyDescent="0.35">
      <c r="A310">
        <v>36</v>
      </c>
      <c r="B310">
        <v>1.9</v>
      </c>
      <c r="C310">
        <v>28.32</v>
      </c>
      <c r="D310" s="55" t="s">
        <v>10</v>
      </c>
    </row>
    <row r="311" spans="1:4" x14ac:dyDescent="0.35">
      <c r="A311">
        <v>36</v>
      </c>
      <c r="B311">
        <v>11.3</v>
      </c>
      <c r="C311">
        <v>87.75</v>
      </c>
      <c r="D311" s="55" t="s">
        <v>10</v>
      </c>
    </row>
    <row r="312" spans="1:4" x14ac:dyDescent="0.35">
      <c r="A312">
        <v>36</v>
      </c>
      <c r="B312">
        <v>12.8</v>
      </c>
      <c r="C312">
        <v>91.79</v>
      </c>
      <c r="D312" s="55" t="s">
        <v>10</v>
      </c>
    </row>
    <row r="313" spans="1:4" x14ac:dyDescent="0.35">
      <c r="A313">
        <v>36</v>
      </c>
      <c r="B313">
        <v>8.11</v>
      </c>
      <c r="C313">
        <v>81.53</v>
      </c>
      <c r="D313" s="55" t="s">
        <v>10</v>
      </c>
    </row>
    <row r="314" spans="1:4" x14ac:dyDescent="0.35">
      <c r="A314">
        <v>36</v>
      </c>
      <c r="B314">
        <v>6.71</v>
      </c>
      <c r="C314">
        <v>40.14</v>
      </c>
      <c r="D314" s="55" t="s">
        <v>10</v>
      </c>
    </row>
    <row r="315" spans="1:4" x14ac:dyDescent="0.35">
      <c r="A315">
        <v>36</v>
      </c>
      <c r="B315">
        <v>6.94</v>
      </c>
      <c r="C315">
        <v>85.29</v>
      </c>
      <c r="D315" s="55" t="s">
        <v>10</v>
      </c>
    </row>
    <row r="316" spans="1:4" x14ac:dyDescent="0.35">
      <c r="A316">
        <v>36</v>
      </c>
      <c r="B316">
        <v>7.25</v>
      </c>
      <c r="C316">
        <v>42.01</v>
      </c>
      <c r="D316" s="55" t="s">
        <v>10</v>
      </c>
    </row>
    <row r="317" spans="1:4" x14ac:dyDescent="0.35">
      <c r="A317">
        <v>36</v>
      </c>
      <c r="B317">
        <v>5.98</v>
      </c>
      <c r="C317">
        <v>56.8</v>
      </c>
      <c r="D317" s="55" t="s">
        <v>10</v>
      </c>
    </row>
    <row r="318" spans="1:4" x14ac:dyDescent="0.35">
      <c r="A318">
        <v>36</v>
      </c>
      <c r="B318">
        <v>8.8800000000000008</v>
      </c>
      <c r="C318">
        <v>73.25</v>
      </c>
      <c r="D318" s="55" t="s">
        <v>10</v>
      </c>
    </row>
    <row r="319" spans="1:4" x14ac:dyDescent="0.35">
      <c r="A319">
        <v>36</v>
      </c>
      <c r="B319">
        <v>7.25</v>
      </c>
      <c r="C319">
        <v>91.39</v>
      </c>
      <c r="D319" s="55" t="s">
        <v>10</v>
      </c>
    </row>
    <row r="320" spans="1:4" x14ac:dyDescent="0.35">
      <c r="A320">
        <v>36</v>
      </c>
      <c r="B320">
        <v>5.86</v>
      </c>
      <c r="C320">
        <v>50.94</v>
      </c>
      <c r="D320" s="55" t="s">
        <v>10</v>
      </c>
    </row>
    <row r="321" spans="1:4" x14ac:dyDescent="0.35">
      <c r="A321">
        <v>37</v>
      </c>
      <c r="B321">
        <v>9.44</v>
      </c>
      <c r="C321">
        <v>61.2</v>
      </c>
      <c r="D321" s="55" t="s">
        <v>10</v>
      </c>
    </row>
    <row r="322" spans="1:4" x14ac:dyDescent="0.35">
      <c r="A322">
        <v>37</v>
      </c>
      <c r="B322">
        <v>2.2999999999999998</v>
      </c>
      <c r="C322">
        <v>39.54</v>
      </c>
      <c r="D322" s="55" t="s">
        <v>10</v>
      </c>
    </row>
    <row r="323" spans="1:4" x14ac:dyDescent="0.35">
      <c r="A323">
        <v>37</v>
      </c>
      <c r="B323">
        <v>6.64</v>
      </c>
      <c r="C323">
        <v>66.959999999999994</v>
      </c>
      <c r="D323" s="55" t="s">
        <v>10</v>
      </c>
    </row>
    <row r="324" spans="1:4" x14ac:dyDescent="0.35">
      <c r="A324">
        <v>37</v>
      </c>
      <c r="B324">
        <v>8.65</v>
      </c>
      <c r="C324">
        <v>91.16</v>
      </c>
      <c r="D324" s="55" t="s">
        <v>10</v>
      </c>
    </row>
    <row r="325" spans="1:4" x14ac:dyDescent="0.35">
      <c r="A325">
        <v>37</v>
      </c>
      <c r="B325">
        <v>3.3</v>
      </c>
      <c r="C325">
        <v>43.28</v>
      </c>
      <c r="D325" s="55" t="s">
        <v>10</v>
      </c>
    </row>
    <row r="326" spans="1:4" x14ac:dyDescent="0.35">
      <c r="A326">
        <v>37</v>
      </c>
      <c r="B326">
        <v>5.15</v>
      </c>
      <c r="C326">
        <v>36.72</v>
      </c>
      <c r="D326" s="55" t="s">
        <v>10</v>
      </c>
    </row>
    <row r="327" spans="1:4" x14ac:dyDescent="0.35">
      <c r="A327">
        <v>38</v>
      </c>
      <c r="B327">
        <v>4.92</v>
      </c>
      <c r="C327">
        <v>38.86</v>
      </c>
      <c r="D327" s="55" t="s">
        <v>10</v>
      </c>
    </row>
    <row r="328" spans="1:4" x14ac:dyDescent="0.35">
      <c r="A328">
        <v>38</v>
      </c>
      <c r="B328">
        <v>3.6</v>
      </c>
      <c r="C328">
        <v>48.57</v>
      </c>
      <c r="D328" s="55" t="s">
        <v>10</v>
      </c>
    </row>
    <row r="329" spans="1:4" x14ac:dyDescent="0.35">
      <c r="A329">
        <v>38</v>
      </c>
      <c r="B329">
        <v>7.81</v>
      </c>
      <c r="C329">
        <v>44.39</v>
      </c>
      <c r="D329" s="55" t="s">
        <v>10</v>
      </c>
    </row>
    <row r="330" spans="1:4" x14ac:dyDescent="0.35">
      <c r="A330">
        <v>38</v>
      </c>
      <c r="B330">
        <v>8.56</v>
      </c>
      <c r="C330">
        <v>103.65</v>
      </c>
      <c r="D330" s="55" t="s">
        <v>10</v>
      </c>
    </row>
    <row r="331" spans="1:4" x14ac:dyDescent="0.35">
      <c r="A331">
        <v>38</v>
      </c>
      <c r="B331">
        <v>6.02</v>
      </c>
      <c r="C331">
        <v>45.03</v>
      </c>
      <c r="D331" s="55" t="s">
        <v>10</v>
      </c>
    </row>
    <row r="332" spans="1:4" x14ac:dyDescent="0.35">
      <c r="A332">
        <v>38</v>
      </c>
      <c r="B332">
        <v>9.24</v>
      </c>
      <c r="C332">
        <v>91.7</v>
      </c>
      <c r="D332" s="55" t="s">
        <v>10</v>
      </c>
    </row>
    <row r="333" spans="1:4" x14ac:dyDescent="0.35">
      <c r="A333">
        <v>38</v>
      </c>
      <c r="B333">
        <v>9.8800000000000008</v>
      </c>
      <c r="C333">
        <v>51.89</v>
      </c>
      <c r="D333" s="55" t="s">
        <v>10</v>
      </c>
    </row>
    <row r="334" spans="1:4" x14ac:dyDescent="0.35">
      <c r="A334">
        <v>38</v>
      </c>
      <c r="B334">
        <v>6.92</v>
      </c>
      <c r="C334">
        <v>50.8</v>
      </c>
      <c r="D334" s="55" t="s">
        <v>10</v>
      </c>
    </row>
    <row r="335" spans="1:4" x14ac:dyDescent="0.35">
      <c r="A335">
        <v>38</v>
      </c>
      <c r="B335">
        <v>7.31</v>
      </c>
      <c r="C335">
        <v>51.36</v>
      </c>
      <c r="D335" s="55" t="s">
        <v>10</v>
      </c>
    </row>
    <row r="336" spans="1:4" x14ac:dyDescent="0.35">
      <c r="A336">
        <v>39</v>
      </c>
      <c r="B336">
        <v>7.07</v>
      </c>
      <c r="C336">
        <v>48.18</v>
      </c>
      <c r="D336" s="55" t="s">
        <v>10</v>
      </c>
    </row>
    <row r="337" spans="1:4" x14ac:dyDescent="0.35">
      <c r="A337">
        <v>39</v>
      </c>
      <c r="B337">
        <v>7.98</v>
      </c>
      <c r="C337">
        <v>55.94</v>
      </c>
      <c r="D337" s="55" t="s">
        <v>10</v>
      </c>
    </row>
    <row r="338" spans="1:4" x14ac:dyDescent="0.35">
      <c r="A338">
        <v>39</v>
      </c>
      <c r="B338">
        <v>3</v>
      </c>
      <c r="C338">
        <v>58.89</v>
      </c>
      <c r="D338" s="55" t="s">
        <v>10</v>
      </c>
    </row>
    <row r="339" spans="1:4" x14ac:dyDescent="0.35">
      <c r="A339">
        <v>39</v>
      </c>
      <c r="B339">
        <v>2.1</v>
      </c>
      <c r="C339">
        <v>43.17</v>
      </c>
      <c r="D339" s="55" t="s">
        <v>10</v>
      </c>
    </row>
    <row r="340" spans="1:4" x14ac:dyDescent="0.35">
      <c r="A340">
        <v>39</v>
      </c>
      <c r="B340">
        <v>12.5</v>
      </c>
      <c r="C340">
        <v>105.61</v>
      </c>
      <c r="D340" s="55" t="s">
        <v>10</v>
      </c>
    </row>
    <row r="341" spans="1:4" x14ac:dyDescent="0.35">
      <c r="A341">
        <v>40</v>
      </c>
      <c r="B341">
        <v>10.6</v>
      </c>
      <c r="C341">
        <v>80</v>
      </c>
      <c r="D341" s="55" t="s">
        <v>10</v>
      </c>
    </row>
    <row r="342" spans="1:4" x14ac:dyDescent="0.35">
      <c r="A342">
        <v>40</v>
      </c>
      <c r="B342">
        <v>12.1</v>
      </c>
      <c r="C342">
        <v>94.07</v>
      </c>
      <c r="D342" s="55" t="s">
        <v>10</v>
      </c>
    </row>
    <row r="343" spans="1:4" x14ac:dyDescent="0.35">
      <c r="A343">
        <v>40</v>
      </c>
      <c r="B343">
        <v>9.27</v>
      </c>
      <c r="C343">
        <v>55.3</v>
      </c>
      <c r="D343" s="55" t="s">
        <v>10</v>
      </c>
    </row>
    <row r="344" spans="1:4" x14ac:dyDescent="0.35">
      <c r="A344">
        <v>40</v>
      </c>
      <c r="B344">
        <v>8.6999999999999993</v>
      </c>
      <c r="C344">
        <v>66.56</v>
      </c>
      <c r="D344" s="55" t="s">
        <v>10</v>
      </c>
    </row>
    <row r="345" spans="1:4" x14ac:dyDescent="0.35">
      <c r="A345">
        <v>40</v>
      </c>
      <c r="B345">
        <v>9.2100000000000009</v>
      </c>
      <c r="C345">
        <v>67.63</v>
      </c>
      <c r="D345" s="55" t="s">
        <v>10</v>
      </c>
    </row>
    <row r="346" spans="1:4" x14ac:dyDescent="0.35">
      <c r="A346">
        <v>40</v>
      </c>
      <c r="B346">
        <v>5.5</v>
      </c>
      <c r="C346">
        <v>70.36</v>
      </c>
      <c r="D346" s="55" t="s">
        <v>10</v>
      </c>
    </row>
    <row r="347" spans="1:4" x14ac:dyDescent="0.35">
      <c r="A347">
        <v>41</v>
      </c>
      <c r="B347">
        <v>11.7</v>
      </c>
      <c r="C347">
        <v>93.63</v>
      </c>
      <c r="D347" s="55" t="s">
        <v>10</v>
      </c>
    </row>
    <row r="348" spans="1:4" x14ac:dyDescent="0.35">
      <c r="A348">
        <v>41</v>
      </c>
      <c r="B348">
        <v>12.5</v>
      </c>
      <c r="C348">
        <v>100.55</v>
      </c>
      <c r="D348" s="55" t="s">
        <v>10</v>
      </c>
    </row>
    <row r="349" spans="1:4" x14ac:dyDescent="0.35">
      <c r="A349">
        <v>41</v>
      </c>
      <c r="B349">
        <v>12.5</v>
      </c>
      <c r="C349">
        <v>99.72</v>
      </c>
      <c r="D349" s="55" t="s">
        <v>10</v>
      </c>
    </row>
    <row r="350" spans="1:4" x14ac:dyDescent="0.35">
      <c r="A350">
        <v>41</v>
      </c>
      <c r="B350">
        <v>11.1</v>
      </c>
      <c r="C350">
        <v>67.2</v>
      </c>
      <c r="D350" s="55" t="s">
        <v>10</v>
      </c>
    </row>
    <row r="351" spans="1:4" x14ac:dyDescent="0.35">
      <c r="A351">
        <v>41</v>
      </c>
      <c r="B351">
        <v>4.6399999999999997</v>
      </c>
      <c r="C351">
        <v>38.450000000000003</v>
      </c>
      <c r="D351" s="55" t="s">
        <v>10</v>
      </c>
    </row>
    <row r="352" spans="1:4" x14ac:dyDescent="0.35">
      <c r="A352">
        <v>41</v>
      </c>
      <c r="B352">
        <v>8.19</v>
      </c>
      <c r="C352">
        <v>70.88</v>
      </c>
      <c r="D352" s="55" t="s">
        <v>10</v>
      </c>
    </row>
    <row r="353" spans="1:4" x14ac:dyDescent="0.35">
      <c r="A353">
        <v>41</v>
      </c>
      <c r="B353">
        <v>5.74</v>
      </c>
      <c r="C353">
        <v>77.319999999999993</v>
      </c>
      <c r="D353" s="55" t="s">
        <v>10</v>
      </c>
    </row>
    <row r="354" spans="1:4" x14ac:dyDescent="0.35">
      <c r="A354">
        <v>42</v>
      </c>
      <c r="B354">
        <v>6.71</v>
      </c>
      <c r="C354">
        <v>70.739999999999995</v>
      </c>
      <c r="D354" s="55" t="s">
        <v>10</v>
      </c>
    </row>
    <row r="355" spans="1:4" x14ac:dyDescent="0.35">
      <c r="A355">
        <v>42</v>
      </c>
      <c r="B355">
        <v>6.73</v>
      </c>
      <c r="C355">
        <v>67.739999999999995</v>
      </c>
      <c r="D355" s="55" t="s">
        <v>10</v>
      </c>
    </row>
    <row r="356" spans="1:4" x14ac:dyDescent="0.35">
      <c r="A356">
        <v>42</v>
      </c>
      <c r="B356">
        <v>8.68</v>
      </c>
      <c r="C356">
        <v>42.13</v>
      </c>
      <c r="D356" s="55" t="s">
        <v>10</v>
      </c>
    </row>
    <row r="357" spans="1:4" x14ac:dyDescent="0.35">
      <c r="A357">
        <v>42</v>
      </c>
      <c r="B357">
        <v>3.3</v>
      </c>
      <c r="C357">
        <v>41.24</v>
      </c>
      <c r="D357" s="55" t="s">
        <v>10</v>
      </c>
    </row>
    <row r="358" spans="1:4" x14ac:dyDescent="0.35">
      <c r="A358">
        <v>42</v>
      </c>
      <c r="B358">
        <v>5.61</v>
      </c>
      <c r="C358">
        <v>47.22</v>
      </c>
      <c r="D358" s="55" t="s">
        <v>10</v>
      </c>
    </row>
    <row r="359" spans="1:4" x14ac:dyDescent="0.35">
      <c r="A359">
        <v>42</v>
      </c>
      <c r="B359">
        <v>7.33</v>
      </c>
      <c r="C359">
        <v>84.13</v>
      </c>
      <c r="D359" s="55" t="s">
        <v>10</v>
      </c>
    </row>
    <row r="360" spans="1:4" x14ac:dyDescent="0.35">
      <c r="A360">
        <v>42</v>
      </c>
      <c r="B360">
        <v>7.67</v>
      </c>
      <c r="C360">
        <v>58.01</v>
      </c>
      <c r="D360" s="55" t="s">
        <v>10</v>
      </c>
    </row>
    <row r="361" spans="1:4" x14ac:dyDescent="0.35">
      <c r="A361">
        <v>43</v>
      </c>
      <c r="B361">
        <v>7</v>
      </c>
      <c r="C361">
        <v>38.090000000000003</v>
      </c>
      <c r="D361" s="55" t="s">
        <v>10</v>
      </c>
    </row>
    <row r="362" spans="1:4" x14ac:dyDescent="0.35">
      <c r="A362">
        <v>43</v>
      </c>
      <c r="B362">
        <v>4</v>
      </c>
      <c r="C362">
        <v>18.28</v>
      </c>
      <c r="D362" s="55" t="s">
        <v>10</v>
      </c>
    </row>
    <row r="363" spans="1:4" x14ac:dyDescent="0.35">
      <c r="A363">
        <v>43</v>
      </c>
      <c r="B363">
        <v>6.23</v>
      </c>
      <c r="C363">
        <v>42.26</v>
      </c>
      <c r="D363" s="55" t="s">
        <v>10</v>
      </c>
    </row>
    <row r="364" spans="1:4" x14ac:dyDescent="0.35">
      <c r="A364">
        <v>43</v>
      </c>
      <c r="B364">
        <v>9.18</v>
      </c>
      <c r="C364">
        <v>65.19</v>
      </c>
      <c r="D364" s="55" t="s">
        <v>10</v>
      </c>
    </row>
    <row r="365" spans="1:4" x14ac:dyDescent="0.35">
      <c r="A365">
        <v>43</v>
      </c>
      <c r="B365">
        <v>8.85</v>
      </c>
      <c r="C365">
        <v>66.16</v>
      </c>
      <c r="D365" s="55" t="s">
        <v>10</v>
      </c>
    </row>
    <row r="366" spans="1:4" x14ac:dyDescent="0.35">
      <c r="A366">
        <v>44</v>
      </c>
      <c r="B366">
        <v>8.7899999999999991</v>
      </c>
      <c r="C366">
        <v>91.53</v>
      </c>
      <c r="D366" s="55" t="s">
        <v>10</v>
      </c>
    </row>
    <row r="367" spans="1:4" x14ac:dyDescent="0.35">
      <c r="A367">
        <v>44</v>
      </c>
      <c r="B367">
        <v>5.67</v>
      </c>
      <c r="C367">
        <v>77.45</v>
      </c>
      <c r="D367" s="55" t="s">
        <v>10</v>
      </c>
    </row>
    <row r="368" spans="1:4" x14ac:dyDescent="0.35">
      <c r="A368">
        <v>44</v>
      </c>
      <c r="B368">
        <v>3.3</v>
      </c>
      <c r="C368">
        <v>35.11</v>
      </c>
      <c r="D368" s="55" t="s">
        <v>10</v>
      </c>
    </row>
    <row r="369" spans="1:4" x14ac:dyDescent="0.35">
      <c r="A369">
        <v>44</v>
      </c>
      <c r="B369">
        <v>10.3</v>
      </c>
      <c r="C369">
        <v>89.49</v>
      </c>
      <c r="D369" s="55" t="s">
        <v>10</v>
      </c>
    </row>
    <row r="370" spans="1:4" x14ac:dyDescent="0.35">
      <c r="A370">
        <v>45</v>
      </c>
      <c r="B370">
        <v>6.06</v>
      </c>
      <c r="C370">
        <v>54.51</v>
      </c>
      <c r="D370" s="55" t="s">
        <v>10</v>
      </c>
    </row>
    <row r="371" spans="1:4" x14ac:dyDescent="0.35">
      <c r="A371">
        <v>45</v>
      </c>
      <c r="B371">
        <v>11.8</v>
      </c>
      <c r="C371">
        <v>78.2</v>
      </c>
      <c r="D371" s="55" t="s">
        <v>10</v>
      </c>
    </row>
    <row r="372" spans="1:4" x14ac:dyDescent="0.35">
      <c r="A372">
        <v>46</v>
      </c>
      <c r="B372">
        <v>8.14</v>
      </c>
      <c r="C372">
        <v>74.739999999999995</v>
      </c>
      <c r="D372" s="55" t="s">
        <v>10</v>
      </c>
    </row>
    <row r="373" spans="1:4" x14ac:dyDescent="0.35">
      <c r="A373">
        <v>46</v>
      </c>
      <c r="B373">
        <v>9.4700000000000006</v>
      </c>
      <c r="C373">
        <v>75.08</v>
      </c>
      <c r="D373" s="55" t="s">
        <v>10</v>
      </c>
    </row>
    <row r="374" spans="1:4" x14ac:dyDescent="0.35">
      <c r="A374">
        <v>46</v>
      </c>
      <c r="B374">
        <v>9.6199999999999992</v>
      </c>
      <c r="C374">
        <v>92.89</v>
      </c>
      <c r="D374" s="55" t="s">
        <v>10</v>
      </c>
    </row>
    <row r="375" spans="1:4" x14ac:dyDescent="0.35">
      <c r="A375">
        <v>46</v>
      </c>
      <c r="B375">
        <v>5.45</v>
      </c>
      <c r="C375">
        <v>53</v>
      </c>
      <c r="D375" s="55" t="s">
        <v>10</v>
      </c>
    </row>
    <row r="376" spans="1:4" x14ac:dyDescent="0.35">
      <c r="A376">
        <v>46</v>
      </c>
      <c r="B376">
        <v>12.2</v>
      </c>
      <c r="C376">
        <v>90.89</v>
      </c>
      <c r="D376" s="55" t="s">
        <v>10</v>
      </c>
    </row>
    <row r="377" spans="1:4" x14ac:dyDescent="0.35">
      <c r="A377">
        <v>47</v>
      </c>
      <c r="B377">
        <v>4.5</v>
      </c>
      <c r="C377">
        <v>64.67</v>
      </c>
      <c r="D377" s="55" t="s">
        <v>10</v>
      </c>
    </row>
    <row r="378" spans="1:4" x14ac:dyDescent="0.35">
      <c r="A378">
        <v>47</v>
      </c>
      <c r="B378">
        <v>3.6</v>
      </c>
      <c r="C378">
        <v>30.33</v>
      </c>
      <c r="D378" s="55" t="s">
        <v>10</v>
      </c>
    </row>
    <row r="379" spans="1:4" x14ac:dyDescent="0.35">
      <c r="A379">
        <v>48</v>
      </c>
      <c r="B379">
        <v>6.78</v>
      </c>
      <c r="C379">
        <v>73.25</v>
      </c>
      <c r="D379" s="55" t="s">
        <v>10</v>
      </c>
    </row>
    <row r="380" spans="1:4" x14ac:dyDescent="0.35">
      <c r="A380">
        <v>48</v>
      </c>
      <c r="B380">
        <v>6.23</v>
      </c>
      <c r="C380">
        <v>36.51</v>
      </c>
      <c r="D380" s="55" t="s">
        <v>10</v>
      </c>
    </row>
    <row r="381" spans="1:4" x14ac:dyDescent="0.35">
      <c r="A381">
        <v>48</v>
      </c>
      <c r="B381">
        <v>4.6900000000000004</v>
      </c>
      <c r="C381">
        <v>61.81</v>
      </c>
      <c r="D381" s="55" t="s">
        <v>10</v>
      </c>
    </row>
    <row r="382" spans="1:4" x14ac:dyDescent="0.35">
      <c r="A382">
        <v>48</v>
      </c>
      <c r="B382">
        <v>5.53</v>
      </c>
      <c r="C382">
        <v>61.26</v>
      </c>
      <c r="D382" s="55" t="s">
        <v>10</v>
      </c>
    </row>
    <row r="383" spans="1:4" x14ac:dyDescent="0.35">
      <c r="A383">
        <v>48</v>
      </c>
      <c r="B383">
        <v>4</v>
      </c>
      <c r="C383">
        <v>30.62</v>
      </c>
      <c r="D383" s="55" t="s">
        <v>10</v>
      </c>
    </row>
    <row r="384" spans="1:4" x14ac:dyDescent="0.35">
      <c r="A384">
        <v>48</v>
      </c>
      <c r="B384">
        <v>5.93</v>
      </c>
      <c r="C384">
        <v>10.96</v>
      </c>
      <c r="D384" s="55" t="s">
        <v>10</v>
      </c>
    </row>
    <row r="385" spans="1:4" x14ac:dyDescent="0.35">
      <c r="A385">
        <v>48</v>
      </c>
      <c r="B385">
        <v>5.86</v>
      </c>
      <c r="C385">
        <v>77.989999999999995</v>
      </c>
      <c r="D385" s="55" t="s">
        <v>10</v>
      </c>
    </row>
    <row r="386" spans="1:4" x14ac:dyDescent="0.35">
      <c r="A386">
        <v>49</v>
      </c>
      <c r="B386">
        <v>4</v>
      </c>
      <c r="C386">
        <v>21.99</v>
      </c>
      <c r="D386" s="55" t="s">
        <v>10</v>
      </c>
    </row>
    <row r="387" spans="1:4" x14ac:dyDescent="0.35">
      <c r="A387">
        <v>49</v>
      </c>
      <c r="B387">
        <v>5.61</v>
      </c>
      <c r="C387">
        <v>71.069999999999993</v>
      </c>
      <c r="D387" s="55" t="s">
        <v>10</v>
      </c>
    </row>
    <row r="388" spans="1:4" x14ac:dyDescent="0.35">
      <c r="A388">
        <v>49</v>
      </c>
      <c r="B388">
        <v>7.37</v>
      </c>
      <c r="C388">
        <v>47.75</v>
      </c>
      <c r="D388" s="55" t="s">
        <v>10</v>
      </c>
    </row>
    <row r="389" spans="1:4" x14ac:dyDescent="0.35">
      <c r="A389">
        <v>49</v>
      </c>
      <c r="B389">
        <v>6.69</v>
      </c>
      <c r="C389">
        <v>66.430000000000007</v>
      </c>
      <c r="D389" s="55" t="s">
        <v>10</v>
      </c>
    </row>
    <row r="390" spans="1:4" x14ac:dyDescent="0.35">
      <c r="A390">
        <v>50</v>
      </c>
      <c r="B390">
        <v>8.42</v>
      </c>
      <c r="C390">
        <v>88.33</v>
      </c>
      <c r="D390" s="55" t="s">
        <v>10</v>
      </c>
    </row>
    <row r="391" spans="1:4" x14ac:dyDescent="0.35">
      <c r="A391">
        <v>50</v>
      </c>
      <c r="B391">
        <v>5.21</v>
      </c>
      <c r="C391">
        <v>92.88</v>
      </c>
      <c r="D391" s="55" t="s">
        <v>10</v>
      </c>
    </row>
    <row r="392" spans="1:4" x14ac:dyDescent="0.35">
      <c r="A392">
        <v>50</v>
      </c>
      <c r="B392">
        <v>5.58</v>
      </c>
      <c r="C392">
        <v>24.34</v>
      </c>
      <c r="D392" s="55" t="s">
        <v>10</v>
      </c>
    </row>
    <row r="393" spans="1:4" x14ac:dyDescent="0.35">
      <c r="A393">
        <v>50</v>
      </c>
      <c r="B393">
        <v>1.7</v>
      </c>
      <c r="C393">
        <v>17.32</v>
      </c>
      <c r="D393" s="55" t="s">
        <v>10</v>
      </c>
    </row>
    <row r="394" spans="1:4" x14ac:dyDescent="0.35">
      <c r="A394">
        <v>50</v>
      </c>
      <c r="B394">
        <v>6.18</v>
      </c>
      <c r="C394">
        <v>31.57</v>
      </c>
      <c r="D394" s="55" t="s">
        <v>10</v>
      </c>
    </row>
    <row r="395" spans="1:4" x14ac:dyDescent="0.35">
      <c r="A395">
        <v>51</v>
      </c>
      <c r="B395">
        <v>7.45</v>
      </c>
      <c r="C395">
        <v>62.85</v>
      </c>
      <c r="D395" s="55" t="s">
        <v>10</v>
      </c>
    </row>
    <row r="396" spans="1:4" x14ac:dyDescent="0.35">
      <c r="A396">
        <v>51</v>
      </c>
      <c r="B396">
        <v>8.34</v>
      </c>
      <c r="C396">
        <v>70.430000000000007</v>
      </c>
      <c r="D396" s="55" t="s">
        <v>10</v>
      </c>
    </row>
    <row r="397" spans="1:4" x14ac:dyDescent="0.35">
      <c r="A397">
        <v>51</v>
      </c>
      <c r="B397">
        <v>4.96</v>
      </c>
      <c r="C397">
        <v>35.53</v>
      </c>
      <c r="D397" s="55" t="s">
        <v>10</v>
      </c>
    </row>
    <row r="398" spans="1:4" x14ac:dyDescent="0.35">
      <c r="A398">
        <v>51</v>
      </c>
      <c r="B398">
        <v>7.45</v>
      </c>
      <c r="C398">
        <v>35.75</v>
      </c>
      <c r="D398" s="55" t="s">
        <v>10</v>
      </c>
    </row>
    <row r="399" spans="1:4" x14ac:dyDescent="0.35">
      <c r="A399">
        <v>51</v>
      </c>
      <c r="B399">
        <v>6.46</v>
      </c>
      <c r="C399">
        <v>69.069999999999993</v>
      </c>
      <c r="D399" s="55" t="s">
        <v>10</v>
      </c>
    </row>
    <row r="400" spans="1:4" x14ac:dyDescent="0.35">
      <c r="A400">
        <v>51</v>
      </c>
      <c r="B400">
        <v>11.5</v>
      </c>
      <c r="C400">
        <v>118.49</v>
      </c>
      <c r="D400" s="55" t="s">
        <v>10</v>
      </c>
    </row>
    <row r="401" spans="1:4" x14ac:dyDescent="0.35">
      <c r="A401">
        <v>52</v>
      </c>
      <c r="B401">
        <v>4.03</v>
      </c>
      <c r="C401">
        <v>25.68</v>
      </c>
      <c r="D401" s="55" t="s">
        <v>10</v>
      </c>
    </row>
    <row r="402" spans="1:4" x14ac:dyDescent="0.35">
      <c r="A402">
        <v>52</v>
      </c>
      <c r="B402">
        <v>4.1399999999999997</v>
      </c>
      <c r="C402">
        <v>36.58</v>
      </c>
      <c r="D402" s="55" t="s">
        <v>10</v>
      </c>
    </row>
    <row r="403" spans="1:4" x14ac:dyDescent="0.35">
      <c r="A403">
        <v>52</v>
      </c>
      <c r="B403">
        <v>5.58</v>
      </c>
      <c r="C403">
        <v>50.66</v>
      </c>
      <c r="D403" s="55" t="s">
        <v>10</v>
      </c>
    </row>
    <row r="404" spans="1:4" x14ac:dyDescent="0.35">
      <c r="A404">
        <v>53</v>
      </c>
      <c r="B404">
        <v>8.0500000000000007</v>
      </c>
      <c r="C404">
        <v>99.96</v>
      </c>
      <c r="D404" s="55" t="s">
        <v>10</v>
      </c>
    </row>
    <row r="405" spans="1:4" x14ac:dyDescent="0.35">
      <c r="A405">
        <v>54</v>
      </c>
      <c r="B405">
        <v>9.6199999999999992</v>
      </c>
      <c r="C405">
        <v>67.069999999999993</v>
      </c>
      <c r="D405" s="55" t="s">
        <v>10</v>
      </c>
    </row>
    <row r="406" spans="1:4" x14ac:dyDescent="0.35">
      <c r="A406">
        <v>55</v>
      </c>
      <c r="B406">
        <v>8.69</v>
      </c>
      <c r="C406">
        <v>72.78</v>
      </c>
      <c r="D406" s="55" t="s">
        <v>10</v>
      </c>
    </row>
    <row r="407" spans="1:4" x14ac:dyDescent="0.35">
      <c r="A407">
        <v>56</v>
      </c>
      <c r="B407">
        <v>6.51</v>
      </c>
      <c r="C407">
        <v>67.02</v>
      </c>
      <c r="D407" s="55" t="s">
        <v>10</v>
      </c>
    </row>
    <row r="408" spans="1:4" x14ac:dyDescent="0.35">
      <c r="A408">
        <v>57</v>
      </c>
      <c r="B408">
        <v>13</v>
      </c>
      <c r="C408">
        <v>67.31</v>
      </c>
      <c r="D408" s="55" t="s">
        <v>10</v>
      </c>
    </row>
    <row r="409" spans="1:4" x14ac:dyDescent="0.35">
      <c r="A409">
        <v>57</v>
      </c>
      <c r="B409">
        <v>5.96</v>
      </c>
      <c r="C409">
        <v>84.26</v>
      </c>
      <c r="D409" s="55" t="s">
        <v>10</v>
      </c>
    </row>
    <row r="410" spans="1:4" x14ac:dyDescent="0.35">
      <c r="A410">
        <v>57</v>
      </c>
      <c r="B410">
        <v>5.85</v>
      </c>
      <c r="C410">
        <v>28.16</v>
      </c>
      <c r="D410" s="55" t="s">
        <v>10</v>
      </c>
    </row>
    <row r="411" spans="1:4" x14ac:dyDescent="0.35">
      <c r="A411">
        <v>57</v>
      </c>
      <c r="B411">
        <v>2.7</v>
      </c>
      <c r="C411">
        <v>16.579999999999998</v>
      </c>
      <c r="D411" s="55" t="s">
        <v>10</v>
      </c>
    </row>
    <row r="412" spans="1:4" x14ac:dyDescent="0.35">
      <c r="A412">
        <v>64</v>
      </c>
      <c r="B412">
        <v>8.08</v>
      </c>
      <c r="C412">
        <v>89.18</v>
      </c>
      <c r="D412" s="55" t="s">
        <v>10</v>
      </c>
    </row>
    <row r="413" spans="1:4" x14ac:dyDescent="0.35">
      <c r="A413">
        <v>68</v>
      </c>
      <c r="B413">
        <v>4.37</v>
      </c>
      <c r="C413">
        <v>23.31</v>
      </c>
      <c r="D413" s="55" t="s">
        <v>10</v>
      </c>
    </row>
    <row r="414" spans="1:4" x14ac:dyDescent="0.35">
      <c r="A414">
        <v>74</v>
      </c>
      <c r="B414">
        <v>6.65</v>
      </c>
      <c r="C414">
        <v>55.63</v>
      </c>
      <c r="D414" s="55" t="s">
        <v>10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AC0B52-E97E-4630-B6CF-AB18A08391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DATA </vt:lpstr>
      <vt:lpstr>Dashboard</vt:lpstr>
      <vt:lpstr>montant x temps </vt:lpstr>
      <vt:lpstr>CA par Catégorie</vt:lpstr>
      <vt:lpstr>evolution CA x catégorie</vt:lpstr>
      <vt:lpstr>Clienst x Catégorie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2021-02-27T08:31:49Z</dcterms:created>
  <dcterms:modified xsi:type="dcterms:W3CDTF">2022-09-04T09:45:02Z</dcterms:modified>
</cp:coreProperties>
</file>